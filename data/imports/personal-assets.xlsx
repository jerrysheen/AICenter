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资产明细" sheetId="1" r:id="rId5"/>
    <sheet state="visible" name="汇率" sheetId="2" r:id="rId6"/>
    <sheet state="visible" name="分红所得" sheetId="3" r:id="rId7"/>
  </sheets>
  <definedNames>
    <definedName hidden="1" localSheetId="0" name="_xlnm._FilterDatabase">'资产明细'!$A$1:$V$1000</definedName>
  </definedNames>
  <calcPr/>
</workbook>
</file>

<file path=xl/sharedStrings.xml><?xml version="1.0" encoding="utf-8"?>
<sst xmlns="http://schemas.openxmlformats.org/spreadsheetml/2006/main" count="102" uniqueCount="98">
  <si>
    <t>年份</t>
  </si>
  <si>
    <t>总和</t>
  </si>
  <si>
    <t>工资</t>
  </si>
  <si>
    <t>光大银行卡</t>
  </si>
  <si>
    <t>交通</t>
  </si>
  <si>
    <t>招商</t>
  </si>
  <si>
    <t>股票总额</t>
  </si>
  <si>
    <t>币种</t>
  </si>
  <si>
    <t>股票A股</t>
  </si>
  <si>
    <t>历史B股(人民币)</t>
  </si>
  <si>
    <t>股票名</t>
  </si>
  <si>
    <t>B股(美元)</t>
  </si>
  <si>
    <t>B股(港币)</t>
  </si>
  <si>
    <t>B股(折算人民币)</t>
  </si>
  <si>
    <t>微信</t>
  </si>
  <si>
    <t>基金 + 支付宝</t>
  </si>
  <si>
    <t>对人民币汇率</t>
  </si>
  <si>
    <t>数字货币</t>
  </si>
  <si>
    <t>公积金</t>
  </si>
  <si>
    <t>美元 (USD)</t>
  </si>
  <si>
    <t>A本月涨幅</t>
  </si>
  <si>
    <t>B本月涨幅</t>
  </si>
  <si>
    <t>额外</t>
  </si>
  <si>
    <t>备注</t>
  </si>
  <si>
    <t>股数</t>
  </si>
  <si>
    <t>总资产增量</t>
  </si>
  <si>
    <t>港币 (HKD)</t>
  </si>
  <si>
    <t>每股分红</t>
  </si>
  <si>
    <t>https://script.google.com/macros/s/AKfycbz2hNKJr6FuC-yhKilPyIgOmavrKYhcZkhnVJhXgCn-YlpCgVDe_igUmpnFOyFqwnk/exec</t>
  </si>
  <si>
    <t>招商银行</t>
  </si>
  <si>
    <t>总资产涨幅</t>
  </si>
  <si>
    <t>2022/9</t>
  </si>
  <si>
    <t>苏泊尔</t>
  </si>
  <si>
    <t>五粮液</t>
  </si>
  <si>
    <t>中国移动</t>
  </si>
  <si>
    <t>中远海控</t>
  </si>
  <si>
    <t>伊利</t>
  </si>
  <si>
    <t>云南白药</t>
  </si>
  <si>
    <t>东阿阿胶</t>
  </si>
  <si>
    <t>中国平安</t>
  </si>
  <si>
    <t>伊泰B股</t>
  </si>
  <si>
    <t>鄂资B股</t>
  </si>
  <si>
    <t>古井贡B</t>
  </si>
  <si>
    <t>招港B</t>
  </si>
  <si>
    <t>粤高速B</t>
  </si>
  <si>
    <t>2022/11</t>
  </si>
  <si>
    <t>2022/12</t>
  </si>
  <si>
    <t>2023/1</t>
  </si>
  <si>
    <t>2023/2</t>
  </si>
  <si>
    <t>2023/3</t>
  </si>
  <si>
    <t>2023/4</t>
  </si>
  <si>
    <t>2023/5</t>
  </si>
  <si>
    <t>2023/6</t>
  </si>
  <si>
    <t>2023/7</t>
  </si>
  <si>
    <t>2023/8</t>
  </si>
  <si>
    <t>2023/9</t>
  </si>
  <si>
    <t>2023/10</t>
  </si>
  <si>
    <t>2023/11</t>
  </si>
  <si>
    <t>2023/12</t>
  </si>
  <si>
    <t>2024/1</t>
  </si>
  <si>
    <t>2024/2</t>
  </si>
  <si>
    <t>2024/3</t>
  </si>
  <si>
    <t>2024/4</t>
  </si>
  <si>
    <t>2024/5</t>
  </si>
  <si>
    <t>2024/6</t>
  </si>
  <si>
    <t>2024/7</t>
  </si>
  <si>
    <t>2024/8</t>
  </si>
  <si>
    <t>2024/9</t>
  </si>
  <si>
    <t>2024/10</t>
  </si>
  <si>
    <t>2024/11</t>
  </si>
  <si>
    <t>2024/12</t>
  </si>
  <si>
    <t>2025/1</t>
  </si>
  <si>
    <t>2025/2</t>
  </si>
  <si>
    <t>2025/4</t>
  </si>
  <si>
    <t>2025/5</t>
  </si>
  <si>
    <t>2025/6</t>
  </si>
  <si>
    <t>2025/7</t>
  </si>
  <si>
    <t>2025/8/29</t>
  </si>
  <si>
    <t>2025/9</t>
  </si>
  <si>
    <t>2025/9.5</t>
  </si>
  <si>
    <t>2025/10</t>
  </si>
  <si>
    <t>2025/10.5</t>
  </si>
  <si>
    <t>2025/11</t>
  </si>
  <si>
    <t>2025/12</t>
  </si>
  <si>
    <t>2026/1</t>
  </si>
  <si>
    <t>2026/2</t>
  </si>
  <si>
    <t>2026/2.5</t>
  </si>
  <si>
    <t>2026/3.5</t>
  </si>
  <si>
    <t>2026/3.6</t>
  </si>
  <si>
    <t>本月借出刘东凯50000</t>
  </si>
  <si>
    <t>2026/3.8</t>
  </si>
  <si>
    <t>年终奖35000</t>
  </si>
  <si>
    <t>目前转入港币美金等值rmb 81595</t>
  </si>
  <si>
    <t>2026/6.5</t>
  </si>
  <si>
    <t>2026/7.5</t>
  </si>
  <si>
    <t>2026/7.8</t>
  </si>
  <si>
    <t>4w A 股</t>
  </si>
  <si>
    <t>转入3w到A股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</si>
</sst>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color theme="1"/>
      <name val="Arial"/>
    </font>
    <font>
      <u/>
      <color rgb="FF0000FF"/>
    </font>
    <font>
      <sz val="11.0"/>
      <color theme="1"/>
      <name val="Calibri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1476D"/>
        <bgColor rgb="FF21476D"/>
      </patternFill>
    </fill>
  </fills>
  <borders count="10">
    <border/>
    <border>
      <left style="thin">
        <color rgb="FFD3DBE5"/>
      </left>
      <right style="thin">
        <color rgb="FFE5EAF2"/>
      </right>
      <top style="thin">
        <color rgb="FFD3DBE5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D3DBE5"/>
      </top>
      <bottom style="thin">
        <color rgb="FFE5EAF2"/>
      </bottom>
    </border>
    <border>
      <left style="thin">
        <color rgb="FFE5EAF2"/>
      </left>
      <right style="thin">
        <color rgb="FFD3DBE5"/>
      </right>
      <top style="thin">
        <color rgb="FFD3DBE5"/>
      </top>
      <bottom style="thin">
        <color rgb="FFE5EAF2"/>
      </bottom>
    </border>
    <border>
      <left style="thin">
        <color rgb="FFD3DBE5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E5EAF2"/>
      </bottom>
    </border>
    <border>
      <left style="thin">
        <color rgb="FFE5EAF2"/>
      </left>
      <right style="thin">
        <color rgb="FFD3DBE5"/>
      </right>
      <top style="thin">
        <color rgb="FFE5EAF2"/>
      </top>
      <bottom style="thin">
        <color rgb="FFE5EAF2"/>
      </bottom>
    </border>
    <border>
      <left style="thin">
        <color rgb="FFD3DBE5"/>
      </left>
      <right style="thin">
        <color rgb="FFE5EAF2"/>
      </right>
      <top style="thin">
        <color rgb="FFE5EAF2"/>
      </top>
      <bottom style="thin">
        <color rgb="FFD3DBE5"/>
      </bottom>
    </border>
    <border>
      <left style="thin">
        <color rgb="FFE5EAF2"/>
      </left>
      <right style="thin">
        <color rgb="FFE5EAF2"/>
      </right>
      <top style="thin">
        <color rgb="FFE5EAF2"/>
      </top>
      <bottom style="thin">
        <color rgb="FFD3DBE5"/>
      </bottom>
    </border>
    <border>
      <left style="thin">
        <color rgb="FFE5EAF2"/>
      </left>
      <right style="thin">
        <color rgb="FFD3DBE5"/>
      </right>
      <top style="thin">
        <color rgb="FFE5EAF2"/>
      </top>
      <bottom style="thin">
        <color rgb="FFD3DBE5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2" numFmtId="4" xfId="0" applyAlignment="1" applyBorder="1" applyFont="1" applyNumberFormat="1">
      <alignment horizontal="right" vertical="center"/>
    </xf>
    <xf borderId="5" fillId="0" fontId="2" numFmtId="0" xfId="0" applyAlignment="1" applyBorder="1" applyFont="1">
      <alignment horizontal="left" shrinkToFit="0" vertical="center" wrapText="1"/>
    </xf>
    <xf borderId="6" fillId="0" fontId="2" numFmtId="10" xfId="0" applyAlignment="1" applyBorder="1" applyFont="1" applyNumberFormat="1">
      <alignment horizontal="right" vertical="center"/>
    </xf>
    <xf borderId="5" fillId="0" fontId="2" numFmtId="4" xfId="0" applyAlignment="1" applyBorder="1" applyFont="1" applyNumberFormat="1">
      <alignment horizontal="right" readingOrder="0" vertical="center"/>
    </xf>
    <xf borderId="4" fillId="0" fontId="2" numFmtId="0" xfId="0" applyAlignment="1" applyBorder="1" applyFont="1">
      <alignment horizontal="left" readingOrder="0" vertical="center"/>
    </xf>
    <xf borderId="4" fillId="0" fontId="2" numFmtId="164" xfId="0" applyAlignment="1" applyBorder="1" applyFont="1" applyNumberFormat="1">
      <alignment horizontal="left" readingOrder="0" vertical="center"/>
    </xf>
    <xf borderId="5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vertical="center"/>
    </xf>
    <xf borderId="8" fillId="0" fontId="2" numFmtId="4" xfId="0" applyAlignment="1" applyBorder="1" applyFont="1" applyNumberFormat="1">
      <alignment horizontal="right" vertical="center"/>
    </xf>
    <xf borderId="8" fillId="0" fontId="2" numFmtId="0" xfId="0" applyAlignment="1" applyBorder="1" applyFont="1">
      <alignment horizontal="left" shrinkToFit="0" vertical="center" wrapText="1"/>
    </xf>
    <xf borderId="9" fillId="0" fontId="2" numFmtId="10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2hNKJr6FuC-yhKilPyIgOmavrKYhcZkhnVJhXgCn-YlpCgVDe_igUmpnFOyFqwnk/exec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17.0"/>
    <col customWidth="1" min="3" max="19" width="15.14"/>
    <col customWidth="1" min="20" max="20" width="37.29"/>
    <col customWidth="1" min="21" max="22" width="18.71"/>
    <col customWidth="1" min="23" max="23" width="8.71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  <c r="I1" s="2" t="s">
        <v>9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17</v>
      </c>
      <c r="P1" s="2" t="s">
        <v>18</v>
      </c>
      <c r="Q1" s="3" t="s">
        <v>20</v>
      </c>
      <c r="R1" s="3" t="s">
        <v>21</v>
      </c>
      <c r="S1" s="2" t="s">
        <v>22</v>
      </c>
      <c r="T1" s="2" t="s">
        <v>23</v>
      </c>
      <c r="U1" s="6" t="s">
        <v>25</v>
      </c>
      <c r="V1" s="7" t="s">
        <v>30</v>
      </c>
    </row>
    <row r="2" ht="19.5" customHeight="1">
      <c r="A2" s="8" t="s">
        <v>31</v>
      </c>
      <c r="B2" s="18">
        <f t="array" ref="B2:B1000">IF((D2:D1000&lt;&gt;"")+(E2:E1000&lt;&gt;"")+(F2:F1000&lt;&gt;"")+(G2:G1000&lt;&gt;"")+(M2:M1000&lt;&gt;"")+(N2:N1000&lt;&gt;"")+(O2:O1000&lt;&gt;"")+(P2:P1000&lt;&gt;"")+(S2:S1000&lt;&gt;"")=0,,IF(ISNUMBER(D2:D1000),D2:D1000,0)+IF(ISNUMBER(E2:E1000),E2:E1000,0)+IF(ISNUMBER(F2:F1000),F2:F1000,0)+IF(ISNUMBER(G2:G1000),G2:G1000,0)+IF(ISNUMBER(M2:M1000),M2:M1000,0)+IF(ISNUMBER(N2:N1000),N2:N1000,0)+IF(ISNUMBER(O2:O1000),O2:O1000,0)+IF(ISNUMBER(P2:P1000),P2:P1000,0)+IF(ISNUMBER(S2:S1000),S2:S1000,0))</f>
        <v>155938</v>
      </c>
      <c r="C2" s="18">
        <v>17934.8</v>
      </c>
      <c r="D2" s="18">
        <v>3000.0</v>
      </c>
      <c r="E2" s="18">
        <v>0.0</v>
      </c>
      <c r="F2" s="18">
        <v>0.0</v>
      </c>
      <c r="G2" s="18">
        <f t="array" ref="G2:G1000">IF((H2:H1000&lt;&gt;"")+(L2:L1000&lt;&gt;"")=0,,IF(ISNUMBER(H2:H1000),H2:H1000,0)+IF(ISNUMBER(L2:L1000),L2:L1000,0))</f>
        <v>41885</v>
      </c>
      <c r="H2" s="18">
        <v>41885.0</v>
      </c>
      <c r="I2" s="18">
        <v>0.0</v>
      </c>
      <c r="J2" s="18"/>
      <c r="K2" s="18"/>
      <c r="L2" s="18">
        <f t="array" ref="L2:L1000">IF((I2:I1000&lt;&gt;"")+(J2:J1000&lt;&gt;"")+(K2:K1000&lt;&gt;"")=0,,IF(ISNUMBER(I2:I1000),I2:I1000,0)+IF(ISNUMBER(J2:J1000),J2:J1000,0)*'汇率'!$B$2+IF(ISNUMBER(K2:K1000),K2:K1000,0)*'汇率'!$B$3)</f>
        <v>0</v>
      </c>
      <c r="M2" s="18">
        <v>0.0</v>
      </c>
      <c r="N2" s="18">
        <v>62461.0</v>
      </c>
      <c r="O2" s="18">
        <v>8000.0</v>
      </c>
      <c r="P2" s="18">
        <v>40592.0</v>
      </c>
      <c r="Q2" s="18"/>
      <c r="R2" s="18"/>
      <c r="S2" s="18">
        <v>0.0</v>
      </c>
      <c r="T2" s="19"/>
      <c r="U2" s="18"/>
      <c r="V2" s="20"/>
    </row>
    <row r="3" ht="19.5" customHeight="1">
      <c r="A3" s="8" t="s">
        <v>45</v>
      </c>
      <c r="B3" s="18">
        <v>200829.19</v>
      </c>
      <c r="C3" s="18">
        <v>17934.8</v>
      </c>
      <c r="D3" s="18">
        <v>363.0</v>
      </c>
      <c r="E3" s="18">
        <v>200.0</v>
      </c>
      <c r="F3" s="18">
        <v>0.0</v>
      </c>
      <c r="G3" s="18">
        <v>44629.81</v>
      </c>
      <c r="H3" s="18">
        <v>44622.0</v>
      </c>
      <c r="I3" s="18">
        <v>7.81</v>
      </c>
      <c r="J3" s="18"/>
      <c r="K3" s="18"/>
      <c r="L3" s="18">
        <v>7.81</v>
      </c>
      <c r="M3" s="18">
        <v>4000.0</v>
      </c>
      <c r="N3" s="18">
        <v>89244.0</v>
      </c>
      <c r="O3" s="18">
        <v>9800.0</v>
      </c>
      <c r="P3" s="18">
        <v>52592.38</v>
      </c>
      <c r="Q3" s="18"/>
      <c r="R3" s="18"/>
      <c r="S3" s="18">
        <v>0.0</v>
      </c>
      <c r="T3" s="19"/>
      <c r="U3" s="18">
        <f t="array" ref="U3:U1000">IF(B3:B1000="",,IFERROR(B3:B1000-B2:B1000,))</f>
        <v>44891.19</v>
      </c>
      <c r="V3" s="20">
        <f t="array" ref="V3:V1000">IF(U3:U1000="",,IFERROR(U3:U1000/B2:B1000,))</f>
        <v>0.2878784517</v>
      </c>
    </row>
    <row r="4" ht="19.5" customHeight="1">
      <c r="A4" s="8" t="s">
        <v>46</v>
      </c>
      <c r="B4" s="18">
        <v>212636.81</v>
      </c>
      <c r="C4" s="18">
        <v>20634.0</v>
      </c>
      <c r="D4" s="18">
        <v>20797.0</v>
      </c>
      <c r="E4" s="18">
        <v>261.0</v>
      </c>
      <c r="F4" s="18">
        <v>0.0</v>
      </c>
      <c r="G4" s="18">
        <v>33465.81</v>
      </c>
      <c r="H4" s="18">
        <v>33458.0</v>
      </c>
      <c r="I4" s="18">
        <v>7.81</v>
      </c>
      <c r="J4" s="18"/>
      <c r="K4" s="18"/>
      <c r="L4" s="18">
        <v>7.81</v>
      </c>
      <c r="M4" s="18">
        <v>300.0</v>
      </c>
      <c r="N4" s="18">
        <v>81131.0</v>
      </c>
      <c r="O4" s="18">
        <v>14000.0</v>
      </c>
      <c r="P4" s="18">
        <v>58592.0</v>
      </c>
      <c r="Q4" s="18"/>
      <c r="R4" s="18"/>
      <c r="S4" s="18">
        <v>4090.0</v>
      </c>
      <c r="T4" s="19"/>
      <c r="U4" s="18">
        <v>11807.619999999995</v>
      </c>
      <c r="V4" s="20">
        <v>0.05879434159944576</v>
      </c>
    </row>
    <row r="5" ht="19.5" customHeight="1">
      <c r="A5" s="8" t="s">
        <v>47</v>
      </c>
      <c r="B5" s="18">
        <v>220277.56</v>
      </c>
      <c r="C5" s="18">
        <v>188998.0</v>
      </c>
      <c r="D5" s="18">
        <v>1003.0</v>
      </c>
      <c r="E5" s="18">
        <v>83.75</v>
      </c>
      <c r="F5" s="18">
        <v>0.0</v>
      </c>
      <c r="G5" s="18">
        <v>33281.81</v>
      </c>
      <c r="H5" s="18">
        <v>33274.0</v>
      </c>
      <c r="I5" s="18">
        <v>7.81</v>
      </c>
      <c r="J5" s="18"/>
      <c r="K5" s="18"/>
      <c r="L5" s="18">
        <v>7.81</v>
      </c>
      <c r="M5" s="18">
        <v>21.0</v>
      </c>
      <c r="N5" s="18">
        <v>111796.0</v>
      </c>
      <c r="O5" s="18">
        <v>14000.0</v>
      </c>
      <c r="P5" s="18">
        <v>60092.0</v>
      </c>
      <c r="Q5" s="18"/>
      <c r="R5" s="18"/>
      <c r="S5" s="18"/>
      <c r="T5" s="19"/>
      <c r="U5" s="18">
        <v>7640.75</v>
      </c>
      <c r="V5" s="20">
        <v>0.035933336283590786</v>
      </c>
    </row>
    <row r="6" ht="19.5" customHeight="1">
      <c r="A6" s="8" t="s">
        <v>48</v>
      </c>
      <c r="B6" s="18">
        <v>262187.81</v>
      </c>
      <c r="C6" s="18">
        <v>42879.0</v>
      </c>
      <c r="D6" s="18">
        <v>42993.0</v>
      </c>
      <c r="E6" s="18">
        <v>0.0</v>
      </c>
      <c r="F6" s="18">
        <v>0.0</v>
      </c>
      <c r="G6" s="18">
        <v>33701.81</v>
      </c>
      <c r="H6" s="18">
        <v>33694.0</v>
      </c>
      <c r="I6" s="18">
        <v>7.81</v>
      </c>
      <c r="J6" s="18"/>
      <c r="K6" s="18"/>
      <c r="L6" s="18">
        <v>7.81</v>
      </c>
      <c r="M6" s="18">
        <v>17.0</v>
      </c>
      <c r="N6" s="18">
        <v>110384.0</v>
      </c>
      <c r="O6" s="18">
        <v>15000.0</v>
      </c>
      <c r="P6" s="18">
        <v>60092.0</v>
      </c>
      <c r="Q6" s="18"/>
      <c r="R6" s="18"/>
      <c r="S6" s="18"/>
      <c r="T6" s="19"/>
      <c r="U6" s="18">
        <v>41910.25</v>
      </c>
      <c r="V6" s="20">
        <v>0.19026109604627908</v>
      </c>
    </row>
    <row r="7" ht="19.5" customHeight="1">
      <c r="A7" s="8" t="s">
        <v>49</v>
      </c>
      <c r="B7" s="18">
        <v>273288.81</v>
      </c>
      <c r="C7" s="18">
        <v>20590.0</v>
      </c>
      <c r="D7" s="18">
        <v>22303.0</v>
      </c>
      <c r="E7" s="18">
        <v>4500.0</v>
      </c>
      <c r="F7" s="18">
        <v>0.0</v>
      </c>
      <c r="G7" s="18">
        <v>34181.81</v>
      </c>
      <c r="H7" s="18">
        <v>34174.0</v>
      </c>
      <c r="I7" s="18">
        <v>7.81</v>
      </c>
      <c r="J7" s="18"/>
      <c r="K7" s="18"/>
      <c r="L7" s="18">
        <v>7.81</v>
      </c>
      <c r="M7" s="18">
        <v>514.0</v>
      </c>
      <c r="N7" s="18">
        <v>35198.0</v>
      </c>
      <c r="O7" s="18">
        <v>15000.0</v>
      </c>
      <c r="P7" s="18">
        <v>61592.0</v>
      </c>
      <c r="Q7" s="18"/>
      <c r="R7" s="18"/>
      <c r="S7" s="18">
        <v>100000.0</v>
      </c>
      <c r="T7" s="19"/>
      <c r="U7" s="18">
        <v>11101.0</v>
      </c>
      <c r="V7" s="20">
        <v>0.04233987842531657</v>
      </c>
    </row>
    <row r="8" ht="19.5" customHeight="1">
      <c r="A8" s="8" t="s">
        <v>50</v>
      </c>
      <c r="B8" s="18">
        <v>280702.58999999997</v>
      </c>
      <c r="C8" s="18">
        <v>20634.0</v>
      </c>
      <c r="D8" s="18">
        <v>22015.0</v>
      </c>
      <c r="E8" s="18">
        <v>1087.0</v>
      </c>
      <c r="F8" s="18">
        <v>0.0</v>
      </c>
      <c r="G8" s="18">
        <v>32775.81</v>
      </c>
      <c r="H8" s="18">
        <v>32768.0</v>
      </c>
      <c r="I8" s="18">
        <v>7.81</v>
      </c>
      <c r="J8" s="18"/>
      <c r="K8" s="18"/>
      <c r="L8" s="18">
        <v>7.81</v>
      </c>
      <c r="M8" s="18">
        <v>1.78</v>
      </c>
      <c r="N8" s="18">
        <v>42231.0</v>
      </c>
      <c r="O8" s="18">
        <v>15000.0</v>
      </c>
      <c r="P8" s="18">
        <v>67592.0</v>
      </c>
      <c r="Q8" s="18"/>
      <c r="R8" s="18"/>
      <c r="S8" s="18">
        <v>100000.0</v>
      </c>
      <c r="T8" s="19"/>
      <c r="U8" s="18">
        <v>7413.77999999997</v>
      </c>
      <c r="V8" s="20">
        <v>0.02712800425308292</v>
      </c>
    </row>
    <row r="9" ht="19.5" customHeight="1">
      <c r="A9" s="8" t="s">
        <v>51</v>
      </c>
      <c r="B9" s="18">
        <v>294601.3</v>
      </c>
      <c r="C9" s="18">
        <v>20634.0</v>
      </c>
      <c r="D9" s="18">
        <v>1475.91</v>
      </c>
      <c r="E9" s="18">
        <v>617.0</v>
      </c>
      <c r="F9" s="18">
        <v>0.0</v>
      </c>
      <c r="G9" s="18">
        <v>32435.81</v>
      </c>
      <c r="H9" s="18">
        <v>32428.0</v>
      </c>
      <c r="I9" s="18">
        <v>7.81</v>
      </c>
      <c r="J9" s="18"/>
      <c r="K9" s="18"/>
      <c r="L9" s="18">
        <v>7.81</v>
      </c>
      <c r="M9" s="18">
        <v>1.58</v>
      </c>
      <c r="N9" s="18">
        <v>71479.0</v>
      </c>
      <c r="O9" s="18">
        <v>15000.0</v>
      </c>
      <c r="P9" s="18">
        <v>73592.0</v>
      </c>
      <c r="Q9" s="18"/>
      <c r="R9" s="18"/>
      <c r="S9" s="18">
        <v>100000.0</v>
      </c>
      <c r="T9" s="19"/>
      <c r="U9" s="18">
        <v>13898.710000000021</v>
      </c>
      <c r="V9" s="20">
        <v>0.049514006977990556</v>
      </c>
    </row>
    <row r="10" ht="19.5" customHeight="1">
      <c r="A10" s="8" t="s">
        <v>52</v>
      </c>
      <c r="B10" s="18">
        <v>358209.57</v>
      </c>
      <c r="C10" s="18">
        <v>20634.0</v>
      </c>
      <c r="D10" s="18">
        <v>20634.0</v>
      </c>
      <c r="E10" s="18">
        <v>304.0</v>
      </c>
      <c r="F10" s="18">
        <v>0.0</v>
      </c>
      <c r="G10" s="18">
        <v>32580.81</v>
      </c>
      <c r="H10" s="18">
        <v>32573.0</v>
      </c>
      <c r="I10" s="18">
        <v>7.81</v>
      </c>
      <c r="J10" s="18"/>
      <c r="K10" s="18"/>
      <c r="L10" s="18">
        <v>7.81</v>
      </c>
      <c r="M10" s="18">
        <v>67.76</v>
      </c>
      <c r="N10" s="18">
        <v>60537.0</v>
      </c>
      <c r="O10" s="18">
        <v>15000.0</v>
      </c>
      <c r="P10" s="18">
        <v>75092.0</v>
      </c>
      <c r="Q10" s="18"/>
      <c r="R10" s="18"/>
      <c r="S10" s="18">
        <v>153994.0</v>
      </c>
      <c r="T10" s="19"/>
      <c r="U10" s="18">
        <v>63608.27000000002</v>
      </c>
      <c r="V10" s="20">
        <v>0.2159130662356209</v>
      </c>
    </row>
    <row r="11" ht="19.5" customHeight="1">
      <c r="A11" s="8" t="s">
        <v>53</v>
      </c>
      <c r="B11" s="18">
        <v>381025.72</v>
      </c>
      <c r="C11" s="18">
        <v>20634.0</v>
      </c>
      <c r="D11" s="18">
        <v>21360.0</v>
      </c>
      <c r="E11" s="18">
        <v>185.76</v>
      </c>
      <c r="F11" s="18">
        <v>0.0</v>
      </c>
      <c r="G11" s="18">
        <v>48933.81</v>
      </c>
      <c r="H11" s="18">
        <v>48926.0</v>
      </c>
      <c r="I11" s="18">
        <v>7.81</v>
      </c>
      <c r="J11" s="18"/>
      <c r="K11" s="18"/>
      <c r="L11" s="18">
        <v>7.81</v>
      </c>
      <c r="M11" s="18">
        <v>103.4</v>
      </c>
      <c r="N11" s="18">
        <v>114350.75</v>
      </c>
      <c r="O11" s="18">
        <v>15000.0</v>
      </c>
      <c r="P11" s="18">
        <v>81092.0</v>
      </c>
      <c r="Q11" s="18"/>
      <c r="R11" s="18"/>
      <c r="S11" s="18">
        <v>100000.0</v>
      </c>
      <c r="T11" s="19"/>
      <c r="U11" s="18">
        <v>22816.149999999965</v>
      </c>
      <c r="V11" s="20">
        <v>0.06369497610016384</v>
      </c>
    </row>
    <row r="12" ht="19.5" customHeight="1">
      <c r="A12" s="8" t="s">
        <v>54</v>
      </c>
      <c r="B12" s="18">
        <v>399547.33999999997</v>
      </c>
      <c r="C12" s="18">
        <v>20457.0</v>
      </c>
      <c r="D12" s="18">
        <v>23088.97</v>
      </c>
      <c r="E12" s="18">
        <v>3.5</v>
      </c>
      <c r="F12" s="18">
        <v>0.0</v>
      </c>
      <c r="G12" s="18">
        <v>52044.81</v>
      </c>
      <c r="H12" s="18">
        <v>52037.0</v>
      </c>
      <c r="I12" s="18">
        <v>7.81</v>
      </c>
      <c r="J12" s="18"/>
      <c r="K12" s="18"/>
      <c r="L12" s="18">
        <v>7.81</v>
      </c>
      <c r="M12" s="18">
        <v>0.06</v>
      </c>
      <c r="N12" s="18">
        <v>121523.0</v>
      </c>
      <c r="O12" s="18">
        <v>15000.0</v>
      </c>
      <c r="P12" s="18">
        <v>87887.0</v>
      </c>
      <c r="Q12" s="18"/>
      <c r="R12" s="18"/>
      <c r="S12" s="18">
        <v>100000.0</v>
      </c>
      <c r="T12" s="19"/>
      <c r="U12" s="18">
        <v>18521.619999999995</v>
      </c>
      <c r="V12" s="20">
        <v>0.04860989436618608</v>
      </c>
    </row>
    <row r="13" ht="19.5" customHeight="1">
      <c r="A13" s="8" t="s">
        <v>55</v>
      </c>
      <c r="B13" s="18">
        <v>399903.81</v>
      </c>
      <c r="C13" s="18">
        <v>19911.0</v>
      </c>
      <c r="D13" s="18">
        <v>4511.0</v>
      </c>
      <c r="E13" s="18">
        <v>549.0</v>
      </c>
      <c r="F13" s="18">
        <v>0.0</v>
      </c>
      <c r="G13" s="18">
        <v>15925.81</v>
      </c>
      <c r="H13" s="18">
        <v>15918.0</v>
      </c>
      <c r="I13" s="18">
        <v>7.81</v>
      </c>
      <c r="J13" s="18"/>
      <c r="K13" s="18"/>
      <c r="L13" s="18">
        <v>7.81</v>
      </c>
      <c r="M13" s="18">
        <v>2261.0</v>
      </c>
      <c r="N13" s="18">
        <v>173010.0</v>
      </c>
      <c r="O13" s="18">
        <v>15500.0</v>
      </c>
      <c r="P13" s="18">
        <v>88147.0</v>
      </c>
      <c r="Q13" s="18"/>
      <c r="R13" s="18"/>
      <c r="S13" s="18">
        <v>100000.0</v>
      </c>
      <c r="T13" s="19"/>
      <c r="U13" s="18">
        <v>356.47000000003027</v>
      </c>
      <c r="V13" s="20">
        <v>8.921846407487791E-4</v>
      </c>
    </row>
    <row r="14" ht="19.5" customHeight="1">
      <c r="A14" s="8" t="s">
        <v>56</v>
      </c>
      <c r="B14" s="18">
        <v>413070.1</v>
      </c>
      <c r="C14" s="18">
        <v>18799.0</v>
      </c>
      <c r="D14" s="18">
        <v>19679.0</v>
      </c>
      <c r="E14" s="18">
        <v>3.29</v>
      </c>
      <c r="F14" s="18">
        <v>0.0</v>
      </c>
      <c r="G14" s="18">
        <v>15086.81</v>
      </c>
      <c r="H14" s="18">
        <v>15079.0</v>
      </c>
      <c r="I14" s="18">
        <v>7.81</v>
      </c>
      <c r="J14" s="18"/>
      <c r="K14" s="18"/>
      <c r="L14" s="18">
        <v>7.81</v>
      </c>
      <c r="M14" s="18">
        <v>194.0</v>
      </c>
      <c r="N14" s="18">
        <v>168330.0</v>
      </c>
      <c r="O14" s="18">
        <v>15500.0</v>
      </c>
      <c r="P14" s="18">
        <v>94277.0</v>
      </c>
      <c r="Q14" s="18"/>
      <c r="R14" s="18"/>
      <c r="S14" s="18">
        <v>100000.0</v>
      </c>
      <c r="T14" s="19"/>
      <c r="U14" s="18">
        <v>13166.289999999979</v>
      </c>
      <c r="V14" s="20">
        <v>0.03292364231288514</v>
      </c>
    </row>
    <row r="15" ht="19.5" customHeight="1">
      <c r="A15" s="8" t="s">
        <v>57</v>
      </c>
      <c r="B15" s="18">
        <v>427686.81</v>
      </c>
      <c r="C15" s="18">
        <v>18799.0</v>
      </c>
      <c r="D15" s="18">
        <v>19116.0</v>
      </c>
      <c r="E15" s="18">
        <v>865.0</v>
      </c>
      <c r="F15" s="18">
        <v>0.0</v>
      </c>
      <c r="G15" s="18">
        <v>30279.81</v>
      </c>
      <c r="H15" s="18">
        <v>30272.0</v>
      </c>
      <c r="I15" s="18">
        <v>7.81</v>
      </c>
      <c r="J15" s="18"/>
      <c r="K15" s="18"/>
      <c r="L15" s="18">
        <v>7.81</v>
      </c>
      <c r="M15" s="18">
        <v>1255.0</v>
      </c>
      <c r="N15" s="18">
        <v>180264.0</v>
      </c>
      <c r="O15" s="18">
        <v>15500.0</v>
      </c>
      <c r="P15" s="18">
        <v>100407.0</v>
      </c>
      <c r="Q15" s="18"/>
      <c r="R15" s="18"/>
      <c r="S15" s="18">
        <v>80000.0</v>
      </c>
      <c r="T15" s="19"/>
      <c r="U15" s="18">
        <v>14616.710000000021</v>
      </c>
      <c r="V15" s="20">
        <v>0.03538554351912671</v>
      </c>
    </row>
    <row r="16" ht="19.5" customHeight="1">
      <c r="A16" s="8" t="s">
        <v>58</v>
      </c>
      <c r="B16" s="18">
        <v>433655.81</v>
      </c>
      <c r="C16" s="18">
        <v>18799.0</v>
      </c>
      <c r="D16" s="18">
        <v>1993.0</v>
      </c>
      <c r="E16" s="18">
        <v>491.0</v>
      </c>
      <c r="F16" s="18">
        <v>0.0</v>
      </c>
      <c r="G16" s="18">
        <v>31417.81</v>
      </c>
      <c r="H16" s="18">
        <v>31410.0</v>
      </c>
      <c r="I16" s="18">
        <v>7.81</v>
      </c>
      <c r="J16" s="18"/>
      <c r="K16" s="18"/>
      <c r="L16" s="18">
        <v>7.81</v>
      </c>
      <c r="M16" s="18">
        <v>807.0</v>
      </c>
      <c r="N16" s="18">
        <v>196780.0</v>
      </c>
      <c r="O16" s="18">
        <v>15500.0</v>
      </c>
      <c r="P16" s="18">
        <v>106667.0</v>
      </c>
      <c r="Q16" s="18"/>
      <c r="R16" s="18"/>
      <c r="S16" s="18">
        <v>80000.0</v>
      </c>
      <c r="T16" s="19"/>
      <c r="U16" s="18">
        <v>5969.0</v>
      </c>
      <c r="V16" s="20">
        <v>0.01395647436496814</v>
      </c>
    </row>
    <row r="17" ht="19.5" customHeight="1">
      <c r="A17" s="8" t="s">
        <v>59</v>
      </c>
      <c r="B17" s="18">
        <v>454036.81</v>
      </c>
      <c r="C17" s="18">
        <v>18799.0</v>
      </c>
      <c r="D17" s="18">
        <v>664.0</v>
      </c>
      <c r="E17" s="18">
        <v>475.0</v>
      </c>
      <c r="F17" s="18">
        <v>0.0</v>
      </c>
      <c r="G17" s="18">
        <v>31745.81</v>
      </c>
      <c r="H17" s="18">
        <v>31738.0</v>
      </c>
      <c r="I17" s="18">
        <v>7.81</v>
      </c>
      <c r="J17" s="18"/>
      <c r="K17" s="18"/>
      <c r="L17" s="18">
        <v>7.81</v>
      </c>
      <c r="M17" s="18">
        <v>3985.0</v>
      </c>
      <c r="N17" s="18">
        <v>215000.0</v>
      </c>
      <c r="O17" s="18">
        <v>15500.0</v>
      </c>
      <c r="P17" s="18">
        <v>106667.0</v>
      </c>
      <c r="Q17" s="18"/>
      <c r="R17" s="18"/>
      <c r="S17" s="18">
        <v>80000.0</v>
      </c>
      <c r="T17" s="19"/>
      <c r="U17" s="18">
        <v>20381.0</v>
      </c>
      <c r="V17" s="20">
        <v>0.04699810202012513</v>
      </c>
    </row>
    <row r="18" ht="19.5" customHeight="1">
      <c r="A18" s="8" t="s">
        <v>60</v>
      </c>
      <c r="B18" s="18">
        <v>476087.8</v>
      </c>
      <c r="C18" s="18">
        <v>18799.0</v>
      </c>
      <c r="D18" s="18">
        <v>3426.0</v>
      </c>
      <c r="E18" s="18">
        <v>1.99</v>
      </c>
      <c r="F18" s="18">
        <v>0.0</v>
      </c>
      <c r="G18" s="18">
        <v>10720.81</v>
      </c>
      <c r="H18" s="18">
        <v>10713.0</v>
      </c>
      <c r="I18" s="18">
        <v>7.81</v>
      </c>
      <c r="J18" s="18"/>
      <c r="K18" s="18"/>
      <c r="L18" s="18">
        <v>7.81</v>
      </c>
      <c r="M18" s="18">
        <v>6788.0</v>
      </c>
      <c r="N18" s="18">
        <v>249354.0</v>
      </c>
      <c r="O18" s="18">
        <v>16000.0</v>
      </c>
      <c r="P18" s="18">
        <v>109797.0</v>
      </c>
      <c r="Q18" s="18"/>
      <c r="R18" s="18"/>
      <c r="S18" s="18">
        <v>80000.0</v>
      </c>
      <c r="T18" s="19"/>
      <c r="U18" s="18">
        <v>22050.98999999999</v>
      </c>
      <c r="V18" s="20">
        <v>0.04856652481546593</v>
      </c>
    </row>
    <row r="19" ht="19.5" customHeight="1">
      <c r="A19" s="8" t="s">
        <v>61</v>
      </c>
      <c r="B19" s="18">
        <v>494706.02</v>
      </c>
      <c r="C19" s="18">
        <v>20514.0</v>
      </c>
      <c r="D19" s="18">
        <v>20819.0</v>
      </c>
      <c r="E19" s="18">
        <v>13.99</v>
      </c>
      <c r="F19" s="18">
        <v>0.0</v>
      </c>
      <c r="G19" s="18">
        <v>10936.81</v>
      </c>
      <c r="H19" s="18">
        <v>10929.0</v>
      </c>
      <c r="I19" s="18">
        <v>7.81</v>
      </c>
      <c r="J19" s="18"/>
      <c r="K19" s="18"/>
      <c r="L19" s="18">
        <v>7.81</v>
      </c>
      <c r="M19" s="18">
        <v>3564.22</v>
      </c>
      <c r="N19" s="18">
        <v>247445.0</v>
      </c>
      <c r="O19" s="18">
        <v>16000.0</v>
      </c>
      <c r="P19" s="18">
        <v>115927.0</v>
      </c>
      <c r="Q19" s="18"/>
      <c r="R19" s="18"/>
      <c r="S19" s="18">
        <v>80000.0</v>
      </c>
      <c r="T19" s="19"/>
      <c r="U19" s="18">
        <v>18618.22000000003</v>
      </c>
      <c r="V19" s="20">
        <v>0.03910669418540032</v>
      </c>
    </row>
    <row r="20" ht="19.5" customHeight="1">
      <c r="A20" s="8" t="s">
        <v>61</v>
      </c>
      <c r="B20" s="18">
        <v>507851.87</v>
      </c>
      <c r="C20" s="18"/>
      <c r="D20" s="18">
        <v>819.07</v>
      </c>
      <c r="E20" s="18">
        <v>3603.99</v>
      </c>
      <c r="F20" s="18">
        <v>0.0</v>
      </c>
      <c r="G20" s="18">
        <v>10901.81</v>
      </c>
      <c r="H20" s="18">
        <v>10894.0</v>
      </c>
      <c r="I20" s="18">
        <v>7.81</v>
      </c>
      <c r="J20" s="18"/>
      <c r="K20" s="18"/>
      <c r="L20" s="18">
        <v>7.81</v>
      </c>
      <c r="M20" s="18">
        <v>4600.0</v>
      </c>
      <c r="N20" s="18">
        <v>275000.0</v>
      </c>
      <c r="O20" s="18">
        <v>17000.0</v>
      </c>
      <c r="P20" s="18">
        <v>115927.0</v>
      </c>
      <c r="Q20" s="18"/>
      <c r="R20" s="18"/>
      <c r="S20" s="18">
        <v>80000.0</v>
      </c>
      <c r="T20" s="19"/>
      <c r="U20" s="18">
        <v>13145.849999999977</v>
      </c>
      <c r="V20" s="20">
        <v>0.026573054437461618</v>
      </c>
    </row>
    <row r="21" ht="19.5" customHeight="1">
      <c r="A21" s="8" t="s">
        <v>62</v>
      </c>
      <c r="B21" s="18">
        <v>530229.25</v>
      </c>
      <c r="C21" s="18">
        <v>20524.0</v>
      </c>
      <c r="D21" s="18">
        <v>21349.0</v>
      </c>
      <c r="E21" s="18">
        <v>332.44</v>
      </c>
      <c r="F21" s="18">
        <v>0.0</v>
      </c>
      <c r="G21" s="18">
        <v>10982.81</v>
      </c>
      <c r="H21" s="18">
        <v>10975.0</v>
      </c>
      <c r="I21" s="18">
        <v>7.81</v>
      </c>
      <c r="J21" s="18"/>
      <c r="K21" s="18"/>
      <c r="L21" s="18">
        <v>7.81</v>
      </c>
      <c r="M21" s="18">
        <v>3600.0</v>
      </c>
      <c r="N21" s="18">
        <v>264908.0</v>
      </c>
      <c r="O21" s="18">
        <v>17000.0</v>
      </c>
      <c r="P21" s="18">
        <v>122057.0</v>
      </c>
      <c r="Q21" s="18"/>
      <c r="R21" s="18"/>
      <c r="S21" s="18">
        <v>90000.0</v>
      </c>
      <c r="T21" s="19"/>
      <c r="U21" s="18">
        <v>22377.380000000005</v>
      </c>
      <c r="V21" s="20">
        <v>0.04406280910218959</v>
      </c>
    </row>
    <row r="22" ht="19.5" customHeight="1">
      <c r="A22" s="8" t="s">
        <v>63</v>
      </c>
      <c r="B22" s="18">
        <v>613476.95</v>
      </c>
      <c r="C22" s="18"/>
      <c r="D22" s="18">
        <v>85465.0</v>
      </c>
      <c r="E22" s="18">
        <v>0.14</v>
      </c>
      <c r="F22" s="18">
        <v>0.0</v>
      </c>
      <c r="G22" s="18">
        <v>11382.81</v>
      </c>
      <c r="H22" s="18">
        <v>11375.0</v>
      </c>
      <c r="I22" s="18">
        <v>7.81</v>
      </c>
      <c r="J22" s="18"/>
      <c r="K22" s="18"/>
      <c r="L22" s="18">
        <v>7.81</v>
      </c>
      <c r="M22" s="18">
        <v>13150.0</v>
      </c>
      <c r="N22" s="18">
        <v>270292.0</v>
      </c>
      <c r="O22" s="18">
        <v>17000.0</v>
      </c>
      <c r="P22" s="18">
        <v>126187.0</v>
      </c>
      <c r="Q22" s="18"/>
      <c r="R22" s="18"/>
      <c r="S22" s="18">
        <v>90000.0</v>
      </c>
      <c r="T22" s="19"/>
      <c r="U22" s="18">
        <v>83247.69999999995</v>
      </c>
      <c r="V22" s="20">
        <v>0.1570032207766734</v>
      </c>
    </row>
    <row r="23" ht="19.5" customHeight="1">
      <c r="A23" s="8" t="s">
        <v>64</v>
      </c>
      <c r="B23" s="18">
        <v>613091.9199999999</v>
      </c>
      <c r="C23" s="18"/>
      <c r="D23" s="18">
        <v>12126.91</v>
      </c>
      <c r="E23" s="18">
        <v>63.2</v>
      </c>
      <c r="F23" s="18">
        <v>0.0</v>
      </c>
      <c r="G23" s="18">
        <v>9806.81</v>
      </c>
      <c r="H23" s="18">
        <v>9799.0</v>
      </c>
      <c r="I23" s="18">
        <v>7.81</v>
      </c>
      <c r="J23" s="18"/>
      <c r="K23" s="18"/>
      <c r="L23" s="18">
        <v>7.81</v>
      </c>
      <c r="M23" s="18">
        <v>44485.0</v>
      </c>
      <c r="N23" s="18">
        <v>303555.0</v>
      </c>
      <c r="O23" s="18">
        <v>17000.0</v>
      </c>
      <c r="P23" s="18">
        <v>136055.0</v>
      </c>
      <c r="Q23" s="18"/>
      <c r="R23" s="18"/>
      <c r="S23" s="18">
        <v>90000.0</v>
      </c>
      <c r="T23" s="19"/>
      <c r="U23" s="18">
        <v>-385.03000000002794</v>
      </c>
      <c r="V23" s="20">
        <v>-6.276193425034599E-4</v>
      </c>
    </row>
    <row r="24" ht="19.5" customHeight="1">
      <c r="A24" s="8" t="s">
        <v>65</v>
      </c>
      <c r="B24" s="18">
        <v>629307.21</v>
      </c>
      <c r="C24" s="18">
        <v>18.0</v>
      </c>
      <c r="D24" s="18">
        <v>31174.0</v>
      </c>
      <c r="E24" s="18">
        <v>1.4</v>
      </c>
      <c r="F24" s="18">
        <v>0.0</v>
      </c>
      <c r="G24" s="18">
        <v>9806.81</v>
      </c>
      <c r="H24" s="18">
        <v>9799.0</v>
      </c>
      <c r="I24" s="18">
        <v>7.81</v>
      </c>
      <c r="J24" s="18"/>
      <c r="K24" s="18"/>
      <c r="L24" s="18">
        <v>7.81</v>
      </c>
      <c r="M24" s="18">
        <v>42246.0</v>
      </c>
      <c r="N24" s="18">
        <v>303024.0</v>
      </c>
      <c r="O24" s="18">
        <v>17000.0</v>
      </c>
      <c r="P24" s="18">
        <v>136055.0</v>
      </c>
      <c r="Q24" s="18"/>
      <c r="R24" s="18"/>
      <c r="S24" s="18">
        <v>90000.0</v>
      </c>
      <c r="T24" s="19"/>
      <c r="U24" s="18">
        <v>16215.290000000037</v>
      </c>
      <c r="V24" s="20">
        <v>0.026448383139676738</v>
      </c>
    </row>
    <row r="25" ht="19.5" customHeight="1">
      <c r="A25" s="8" t="s">
        <v>66</v>
      </c>
      <c r="B25" s="18">
        <v>626508.81</v>
      </c>
      <c r="C25" s="18">
        <v>20000.0</v>
      </c>
      <c r="D25" s="18">
        <v>7745.0</v>
      </c>
      <c r="E25" s="18">
        <v>2080.0</v>
      </c>
      <c r="F25" s="18">
        <v>0.0</v>
      </c>
      <c r="G25" s="18">
        <v>9986.81</v>
      </c>
      <c r="H25" s="18">
        <v>9979.0</v>
      </c>
      <c r="I25" s="18">
        <v>7.81</v>
      </c>
      <c r="J25" s="18"/>
      <c r="K25" s="18"/>
      <c r="L25" s="18">
        <v>7.81</v>
      </c>
      <c r="M25" s="18">
        <v>40447.0</v>
      </c>
      <c r="N25" s="18">
        <v>310483.0</v>
      </c>
      <c r="O25" s="18">
        <v>17000.0</v>
      </c>
      <c r="P25" s="18">
        <v>148767.0</v>
      </c>
      <c r="Q25" s="18"/>
      <c r="R25" s="18"/>
      <c r="S25" s="18">
        <v>90000.0</v>
      </c>
      <c r="T25" s="19"/>
      <c r="U25" s="18">
        <v>-2798.399999999907</v>
      </c>
      <c r="V25" s="20">
        <v>-0.004446794753868952</v>
      </c>
    </row>
    <row r="26" ht="19.5" customHeight="1">
      <c r="A26" s="8" t="s">
        <v>67</v>
      </c>
      <c r="B26" s="18">
        <v>709086.81</v>
      </c>
      <c r="C26" s="18">
        <v>19000.0</v>
      </c>
      <c r="D26" s="18">
        <v>10481.0</v>
      </c>
      <c r="E26" s="18">
        <v>1519.0</v>
      </c>
      <c r="F26" s="18">
        <v>0.0</v>
      </c>
      <c r="G26" s="18">
        <v>182197.81</v>
      </c>
      <c r="H26" s="18">
        <v>182190.0</v>
      </c>
      <c r="I26" s="18">
        <v>7.81</v>
      </c>
      <c r="J26" s="18"/>
      <c r="K26" s="18"/>
      <c r="L26" s="18">
        <v>7.81</v>
      </c>
      <c r="M26" s="18">
        <v>31266.0</v>
      </c>
      <c r="N26" s="18">
        <v>226000.0</v>
      </c>
      <c r="O26" s="18">
        <v>17000.0</v>
      </c>
      <c r="P26" s="18">
        <v>157123.0</v>
      </c>
      <c r="Q26" s="18"/>
      <c r="R26" s="18"/>
      <c r="S26" s="18">
        <v>83500.0</v>
      </c>
      <c r="T26" s="19"/>
      <c r="U26" s="18">
        <v>82578.0</v>
      </c>
      <c r="V26" s="20">
        <v>0.13180660619920093</v>
      </c>
    </row>
    <row r="27" ht="19.5" customHeight="1">
      <c r="A27" s="8" t="s">
        <v>68</v>
      </c>
      <c r="B27" s="18">
        <v>734488.06</v>
      </c>
      <c r="C27" s="18">
        <v>19000.0</v>
      </c>
      <c r="D27" s="18">
        <v>5712.79</v>
      </c>
      <c r="E27" s="18">
        <v>1178.46</v>
      </c>
      <c r="F27" s="18">
        <v>0.0</v>
      </c>
      <c r="G27" s="18">
        <v>236734.81</v>
      </c>
      <c r="H27" s="18">
        <v>236727.0</v>
      </c>
      <c r="I27" s="18">
        <v>7.81</v>
      </c>
      <c r="J27" s="18"/>
      <c r="K27" s="18"/>
      <c r="L27" s="18">
        <v>7.81</v>
      </c>
      <c r="M27" s="18">
        <v>20346.0</v>
      </c>
      <c r="N27" s="18">
        <v>192975.0</v>
      </c>
      <c r="O27" s="18">
        <v>28562.0</v>
      </c>
      <c r="P27" s="18">
        <v>163479.0</v>
      </c>
      <c r="Q27" s="21">
        <v>-2326.0</v>
      </c>
      <c r="R27" s="18"/>
      <c r="S27" s="18">
        <v>85500.0</v>
      </c>
      <c r="T27" s="19"/>
      <c r="U27" s="18">
        <v>25401.25</v>
      </c>
      <c r="V27" s="20">
        <v>0.03582248272253153</v>
      </c>
    </row>
    <row r="28" ht="19.5" customHeight="1">
      <c r="A28" s="8" t="s">
        <v>69</v>
      </c>
      <c r="B28" s="18">
        <v>728771.81</v>
      </c>
      <c r="C28" s="18"/>
      <c r="D28" s="18">
        <v>20386.0</v>
      </c>
      <c r="E28" s="18">
        <v>728.0</v>
      </c>
      <c r="F28" s="18">
        <v>0.0</v>
      </c>
      <c r="G28" s="18">
        <v>325007.81</v>
      </c>
      <c r="H28" s="18">
        <v>325000.0</v>
      </c>
      <c r="I28" s="18">
        <v>7.81</v>
      </c>
      <c r="J28" s="18"/>
      <c r="K28" s="18"/>
      <c r="L28" s="18">
        <v>7.81</v>
      </c>
      <c r="M28" s="18">
        <v>19070.0</v>
      </c>
      <c r="N28" s="18">
        <v>77424.0</v>
      </c>
      <c r="O28" s="18">
        <v>32821.0</v>
      </c>
      <c r="P28" s="18">
        <v>169835.0</v>
      </c>
      <c r="Q28" s="21">
        <v>-6341.0</v>
      </c>
      <c r="R28" s="18"/>
      <c r="S28" s="18">
        <v>83500.0</v>
      </c>
      <c r="T28" s="19"/>
      <c r="U28" s="18">
        <v>-5716.25</v>
      </c>
      <c r="V28" s="20">
        <v>-0.007782631619634497</v>
      </c>
    </row>
    <row r="29" ht="19.5" customHeight="1">
      <c r="A29" s="8" t="s">
        <v>70</v>
      </c>
      <c r="B29" s="18">
        <v>730398.81</v>
      </c>
      <c r="C29" s="18"/>
      <c r="D29" s="18">
        <v>1367.0</v>
      </c>
      <c r="E29" s="18">
        <v>1709.0</v>
      </c>
      <c r="F29" s="18">
        <v>0.0</v>
      </c>
      <c r="G29" s="18">
        <v>347701.81</v>
      </c>
      <c r="H29" s="18">
        <v>347694.0</v>
      </c>
      <c r="I29" s="18">
        <v>7.81</v>
      </c>
      <c r="J29" s="18"/>
      <c r="K29" s="18"/>
      <c r="L29" s="18">
        <v>7.81</v>
      </c>
      <c r="M29" s="18">
        <v>4570.0</v>
      </c>
      <c r="N29" s="18">
        <v>82539.0</v>
      </c>
      <c r="O29" s="18">
        <v>32821.0</v>
      </c>
      <c r="P29" s="18">
        <v>176191.0</v>
      </c>
      <c r="Q29" s="21">
        <v>18890.0</v>
      </c>
      <c r="R29" s="18"/>
      <c r="S29" s="18">
        <v>83500.0</v>
      </c>
      <c r="T29" s="19"/>
      <c r="U29" s="18">
        <v>1627.0</v>
      </c>
      <c r="V29" s="20">
        <v>0.002232523236594456</v>
      </c>
    </row>
    <row r="30" ht="19.5" customHeight="1">
      <c r="A30" s="8" t="s">
        <v>70</v>
      </c>
      <c r="B30" s="18">
        <v>772055.0</v>
      </c>
      <c r="C30" s="18"/>
      <c r="D30" s="18">
        <v>20098.0</v>
      </c>
      <c r="E30" s="18">
        <v>1701.0</v>
      </c>
      <c r="F30" s="18">
        <v>27409.0</v>
      </c>
      <c r="G30" s="18">
        <v>363604.0</v>
      </c>
      <c r="H30" s="18">
        <v>346793.0</v>
      </c>
      <c r="I30" s="18">
        <v>16811.0</v>
      </c>
      <c r="J30" s="18"/>
      <c r="K30" s="18"/>
      <c r="L30" s="18">
        <v>16811.0</v>
      </c>
      <c r="M30" s="18">
        <v>4267.0</v>
      </c>
      <c r="N30" s="18">
        <v>62464.0</v>
      </c>
      <c r="O30" s="18">
        <v>32821.0</v>
      </c>
      <c r="P30" s="18">
        <v>176191.0</v>
      </c>
      <c r="Q30" s="18"/>
      <c r="R30" s="18"/>
      <c r="S30" s="18">
        <v>83500.0</v>
      </c>
      <c r="T30" s="19"/>
      <c r="U30" s="18">
        <v>41656.189999999944</v>
      </c>
      <c r="V30" s="20">
        <v>0.05703211646798814</v>
      </c>
    </row>
    <row r="31" ht="19.5" customHeight="1">
      <c r="A31" s="8" t="s">
        <v>70</v>
      </c>
      <c r="B31" s="18">
        <v>757709.66</v>
      </c>
      <c r="C31" s="18"/>
      <c r="D31" s="18">
        <v>7598.0</v>
      </c>
      <c r="E31" s="18">
        <v>9815.0</v>
      </c>
      <c r="F31" s="18">
        <v>11789.0</v>
      </c>
      <c r="G31" s="18">
        <v>376933.66000000003</v>
      </c>
      <c r="H31" s="18">
        <v>334485.0</v>
      </c>
      <c r="I31" s="18">
        <v>42448.66</v>
      </c>
      <c r="J31" s="18"/>
      <c r="K31" s="18"/>
      <c r="L31" s="18">
        <v>42448.66</v>
      </c>
      <c r="M31" s="18">
        <v>3288.0</v>
      </c>
      <c r="N31" s="18">
        <v>61274.0</v>
      </c>
      <c r="O31" s="18">
        <v>32821.0</v>
      </c>
      <c r="P31" s="18">
        <v>174191.0</v>
      </c>
      <c r="Q31" s="18"/>
      <c r="R31" s="18"/>
      <c r="S31" s="18">
        <v>80000.0</v>
      </c>
      <c r="T31" s="19"/>
      <c r="U31" s="18">
        <v>-14345.339999999967</v>
      </c>
      <c r="V31" s="20">
        <v>-0.018580722875960867</v>
      </c>
    </row>
    <row r="32" ht="19.5" customHeight="1">
      <c r="A32" s="8" t="s">
        <v>71</v>
      </c>
      <c r="B32" s="18">
        <v>810474.0</v>
      </c>
      <c r="C32" s="18">
        <v>50000.0</v>
      </c>
      <c r="D32" s="18">
        <v>50955.0</v>
      </c>
      <c r="E32" s="18">
        <v>2103.0</v>
      </c>
      <c r="F32" s="18">
        <v>4451.0</v>
      </c>
      <c r="G32" s="18">
        <v>401164.0</v>
      </c>
      <c r="H32" s="18">
        <v>336759.0</v>
      </c>
      <c r="I32" s="18">
        <v>64405.0</v>
      </c>
      <c r="J32" s="18"/>
      <c r="K32" s="18"/>
      <c r="L32" s="18">
        <v>64405.0</v>
      </c>
      <c r="M32" s="18">
        <v>3161.0</v>
      </c>
      <c r="N32" s="18">
        <v>61628.0</v>
      </c>
      <c r="O32" s="18">
        <v>32821.0</v>
      </c>
      <c r="P32" s="18">
        <v>174191.0</v>
      </c>
      <c r="Q32" s="21">
        <v>-6973.0</v>
      </c>
      <c r="R32" s="21">
        <v>488.0</v>
      </c>
      <c r="S32" s="18">
        <v>80000.0</v>
      </c>
      <c r="T32" s="19"/>
      <c r="U32" s="18">
        <v>52764.33999999997</v>
      </c>
      <c r="V32" s="20">
        <v>0.06963662044377257</v>
      </c>
    </row>
    <row r="33" ht="19.5" customHeight="1">
      <c r="A33" s="8" t="s">
        <v>72</v>
      </c>
      <c r="B33" s="18">
        <v>942174.0</v>
      </c>
      <c r="C33" s="18">
        <v>20000.0</v>
      </c>
      <c r="D33" s="18">
        <v>20263.0</v>
      </c>
      <c r="E33" s="18">
        <v>9141.0</v>
      </c>
      <c r="F33" s="18">
        <v>36778.0</v>
      </c>
      <c r="G33" s="18">
        <v>538672.0</v>
      </c>
      <c r="H33" s="18">
        <v>362081.0</v>
      </c>
      <c r="I33" s="18">
        <v>176591.0</v>
      </c>
      <c r="J33" s="18"/>
      <c r="K33" s="18"/>
      <c r="L33" s="18">
        <v>176591.0</v>
      </c>
      <c r="M33" s="18">
        <v>695.0</v>
      </c>
      <c r="N33" s="18">
        <v>39722.0</v>
      </c>
      <c r="O33" s="18">
        <v>30000.0</v>
      </c>
      <c r="P33" s="18">
        <v>186903.0</v>
      </c>
      <c r="Q33" s="21">
        <v>15909.0</v>
      </c>
      <c r="R33" s="21">
        <v>-3985.0</v>
      </c>
      <c r="S33" s="18">
        <v>80000.0</v>
      </c>
      <c r="T33" s="19"/>
      <c r="U33" s="18">
        <v>131700.0</v>
      </c>
      <c r="V33" s="20">
        <v>0.16249750146210737</v>
      </c>
    </row>
    <row r="34" ht="19.5" customHeight="1">
      <c r="A34" s="8" t="s">
        <v>73</v>
      </c>
      <c r="B34" s="18">
        <v>1006561.0</v>
      </c>
      <c r="C34" s="18"/>
      <c r="D34" s="18">
        <v>12541.0</v>
      </c>
      <c r="E34" s="18">
        <v>1894.0</v>
      </c>
      <c r="F34" s="18">
        <v>2142.0</v>
      </c>
      <c r="G34" s="18">
        <v>671416.0</v>
      </c>
      <c r="H34" s="18">
        <v>484762.0</v>
      </c>
      <c r="I34" s="18">
        <v>186654.0</v>
      </c>
      <c r="J34" s="18"/>
      <c r="K34" s="18"/>
      <c r="L34" s="18">
        <v>186654.0</v>
      </c>
      <c r="M34" s="18">
        <v>697.0</v>
      </c>
      <c r="N34" s="18">
        <v>2006.0</v>
      </c>
      <c r="O34" s="18">
        <v>36250.0</v>
      </c>
      <c r="P34" s="18">
        <v>199615.0</v>
      </c>
      <c r="Q34" s="21">
        <v>-1578.0</v>
      </c>
      <c r="R34" s="21">
        <v>6559.0</v>
      </c>
      <c r="S34" s="18">
        <v>80000.0</v>
      </c>
      <c r="T34" s="19"/>
      <c r="U34" s="18">
        <v>64387.0</v>
      </c>
      <c r="V34" s="20">
        <v>0.06833875695996705</v>
      </c>
    </row>
    <row r="35" ht="19.5" customHeight="1">
      <c r="A35" s="8" t="s">
        <v>74</v>
      </c>
      <c r="B35" s="18">
        <v>1084594.81</v>
      </c>
      <c r="C35" s="18">
        <v>23500.0</v>
      </c>
      <c r="D35" s="18">
        <v>7865.0</v>
      </c>
      <c r="E35" s="18">
        <v>33.81</v>
      </c>
      <c r="F35" s="18">
        <v>630.0</v>
      </c>
      <c r="G35" s="18">
        <v>745309.0</v>
      </c>
      <c r="H35" s="18">
        <v>548655.0</v>
      </c>
      <c r="I35" s="18">
        <v>196654.0</v>
      </c>
      <c r="J35" s="18"/>
      <c r="K35" s="18"/>
      <c r="L35" s="18">
        <v>196654.0</v>
      </c>
      <c r="M35" s="18">
        <v>512.0</v>
      </c>
      <c r="N35" s="18">
        <v>6024.0</v>
      </c>
      <c r="O35" s="18">
        <v>36250.0</v>
      </c>
      <c r="P35" s="18">
        <v>207971.0</v>
      </c>
      <c r="Q35" s="21">
        <v>16788.0</v>
      </c>
      <c r="R35" s="21">
        <v>-2249.0</v>
      </c>
      <c r="S35" s="18">
        <v>80000.0</v>
      </c>
      <c r="T35" s="19"/>
      <c r="U35" s="18">
        <v>78033.81000000006</v>
      </c>
      <c r="V35" s="20">
        <v>0.0775251673768406</v>
      </c>
    </row>
    <row r="36" ht="19.5" customHeight="1">
      <c r="A36" s="8" t="s">
        <v>75</v>
      </c>
      <c r="B36" s="18">
        <v>1127930.9</v>
      </c>
      <c r="C36" s="18">
        <v>23500.0</v>
      </c>
      <c r="D36" s="18">
        <v>23621.0</v>
      </c>
      <c r="E36" s="18">
        <v>777.9</v>
      </c>
      <c r="F36" s="18">
        <v>266.0</v>
      </c>
      <c r="G36" s="18">
        <v>766089.0</v>
      </c>
      <c r="H36" s="18">
        <v>531968.0</v>
      </c>
      <c r="I36" s="18">
        <v>234121.0</v>
      </c>
      <c r="J36" s="18"/>
      <c r="K36" s="18"/>
      <c r="L36" s="18">
        <v>234121.0</v>
      </c>
      <c r="M36" s="18">
        <v>3701.0</v>
      </c>
      <c r="N36" s="18">
        <v>2899.0</v>
      </c>
      <c r="O36" s="18">
        <v>36250.0</v>
      </c>
      <c r="P36" s="18">
        <v>214327.0</v>
      </c>
      <c r="Q36" s="21">
        <v>23305.0</v>
      </c>
      <c r="R36" s="21">
        <v>5928.0</v>
      </c>
      <c r="S36" s="18">
        <v>80000.0</v>
      </c>
      <c r="T36" s="19"/>
      <c r="U36" s="18">
        <v>43336.08999999985</v>
      </c>
      <c r="V36" s="20">
        <v>0.0399560182295173</v>
      </c>
    </row>
    <row r="37" ht="19.5" customHeight="1">
      <c r="A37" s="8" t="s">
        <v>76</v>
      </c>
      <c r="B37" s="18">
        <v>1168592.0</v>
      </c>
      <c r="C37" s="18">
        <v>23500.0</v>
      </c>
      <c r="D37" s="18">
        <v>20439.0</v>
      </c>
      <c r="E37" s="18">
        <v>8586.0</v>
      </c>
      <c r="F37" s="18">
        <v>266.0</v>
      </c>
      <c r="G37" s="18">
        <v>798177.0</v>
      </c>
      <c r="H37" s="18">
        <v>548494.0</v>
      </c>
      <c r="I37" s="18">
        <v>249683.0</v>
      </c>
      <c r="J37" s="18"/>
      <c r="K37" s="18"/>
      <c r="L37" s="18">
        <v>249683.0</v>
      </c>
      <c r="M37" s="18">
        <v>1027.0</v>
      </c>
      <c r="N37" s="18">
        <v>2899.0</v>
      </c>
      <c r="O37" s="18">
        <v>36250.0</v>
      </c>
      <c r="P37" s="18">
        <v>220948.0</v>
      </c>
      <c r="Q37" s="21">
        <v>18544.0</v>
      </c>
      <c r="R37" s="21">
        <v>11708.0</v>
      </c>
      <c r="S37" s="18">
        <v>80000.0</v>
      </c>
      <c r="T37" s="19"/>
      <c r="U37" s="18">
        <v>40661.10000000009</v>
      </c>
      <c r="V37" s="20">
        <v>0.036049282806242915</v>
      </c>
    </row>
    <row r="38" ht="19.5" customHeight="1">
      <c r="A38" s="8" t="s">
        <v>77</v>
      </c>
      <c r="B38" s="18">
        <v>1205837.5</v>
      </c>
      <c r="C38" s="18">
        <v>21746.0</v>
      </c>
      <c r="D38" s="18">
        <v>24569.0</v>
      </c>
      <c r="E38" s="18">
        <v>1867.0</v>
      </c>
      <c r="F38" s="18">
        <v>226.0</v>
      </c>
      <c r="G38" s="18">
        <v>819023.0</v>
      </c>
      <c r="H38" s="18">
        <v>575000.0</v>
      </c>
      <c r="I38" s="18">
        <v>244023.0</v>
      </c>
      <c r="J38" s="18"/>
      <c r="K38" s="18"/>
      <c r="L38" s="18">
        <v>244023.0</v>
      </c>
      <c r="M38" s="18">
        <v>5.5</v>
      </c>
      <c r="N38" s="18">
        <v>2921.0</v>
      </c>
      <c r="O38" s="18">
        <v>47342.0</v>
      </c>
      <c r="P38" s="18">
        <v>229884.0</v>
      </c>
      <c r="Q38" s="21">
        <v>6543.0</v>
      </c>
      <c r="R38" s="21">
        <v>12084.0</v>
      </c>
      <c r="S38" s="18">
        <v>80000.0</v>
      </c>
      <c r="T38" s="19"/>
      <c r="U38" s="18">
        <v>37245.5</v>
      </c>
      <c r="V38" s="20">
        <v>0.03187211618768569</v>
      </c>
    </row>
    <row r="39" ht="19.5" customHeight="1">
      <c r="A39" s="8" t="s">
        <v>78</v>
      </c>
      <c r="B39" s="18">
        <v>1187901.71</v>
      </c>
      <c r="C39" s="18"/>
      <c r="D39" s="18">
        <v>23988.0</v>
      </c>
      <c r="E39" s="18">
        <v>93.41</v>
      </c>
      <c r="F39" s="18">
        <v>99.45</v>
      </c>
      <c r="G39" s="18">
        <v>797568.0</v>
      </c>
      <c r="H39" s="18">
        <v>583214.0</v>
      </c>
      <c r="I39" s="18">
        <v>214354.0</v>
      </c>
      <c r="J39" s="18"/>
      <c r="K39" s="18"/>
      <c r="L39" s="18">
        <v>214354.0</v>
      </c>
      <c r="M39" s="18">
        <v>1.0</v>
      </c>
      <c r="N39" s="18">
        <v>2931.0</v>
      </c>
      <c r="O39" s="18">
        <v>46742.85</v>
      </c>
      <c r="P39" s="18">
        <v>236478.0</v>
      </c>
      <c r="Q39" s="21">
        <v>-14564.0</v>
      </c>
      <c r="R39" s="21">
        <v>-4853.0</v>
      </c>
      <c r="S39" s="18">
        <v>80000.0</v>
      </c>
      <c r="T39" s="19"/>
      <c r="U39" s="18">
        <v>-17935.790000000037</v>
      </c>
      <c r="V39" s="20">
        <v>-0.014874135196492095</v>
      </c>
    </row>
    <row r="40" ht="19.5" customHeight="1">
      <c r="A40" s="8" t="s">
        <v>79</v>
      </c>
      <c r="B40" s="18">
        <v>1200063.76</v>
      </c>
      <c r="C40" s="18"/>
      <c r="D40" s="18">
        <v>2409.0</v>
      </c>
      <c r="E40" s="18">
        <v>0.31</v>
      </c>
      <c r="F40" s="18">
        <v>99.45</v>
      </c>
      <c r="G40" s="18">
        <v>833692.0</v>
      </c>
      <c r="H40" s="18">
        <v>614757.0</v>
      </c>
      <c r="I40" s="18">
        <v>218935.0</v>
      </c>
      <c r="J40" s="18"/>
      <c r="K40" s="18"/>
      <c r="L40" s="18">
        <v>218935.0</v>
      </c>
      <c r="M40" s="18">
        <v>1454.0</v>
      </c>
      <c r="N40" s="18">
        <v>2931.0</v>
      </c>
      <c r="O40" s="18">
        <v>45000.0</v>
      </c>
      <c r="P40" s="18">
        <v>234478.0</v>
      </c>
      <c r="Q40" s="18"/>
      <c r="R40" s="18"/>
      <c r="S40" s="18">
        <v>80000.0</v>
      </c>
      <c r="T40" s="19"/>
      <c r="U40" s="18">
        <v>12162.050000000047</v>
      </c>
      <c r="V40" s="20">
        <v>0.010238262894663269</v>
      </c>
    </row>
    <row r="41" ht="19.5" customHeight="1">
      <c r="A41" s="8" t="s">
        <v>80</v>
      </c>
      <c r="B41" s="18">
        <v>1220988.45</v>
      </c>
      <c r="C41" s="18"/>
      <c r="D41" s="18">
        <v>19851.0</v>
      </c>
      <c r="E41" s="18">
        <v>31.0</v>
      </c>
      <c r="F41" s="18">
        <v>99.45</v>
      </c>
      <c r="G41" s="18">
        <v>838379.0</v>
      </c>
      <c r="H41" s="18">
        <v>615159.0</v>
      </c>
      <c r="I41" s="18">
        <v>223220.0</v>
      </c>
      <c r="J41" s="18"/>
      <c r="K41" s="18"/>
      <c r="L41" s="18">
        <v>223220.0</v>
      </c>
      <c r="M41" s="18">
        <v>248.0</v>
      </c>
      <c r="N41" s="18">
        <v>2902.0</v>
      </c>
      <c r="O41" s="18">
        <v>45000.0</v>
      </c>
      <c r="P41" s="18">
        <v>234478.0</v>
      </c>
      <c r="Q41" s="21">
        <v>18690.0</v>
      </c>
      <c r="R41" s="21">
        <v>-4479.0</v>
      </c>
      <c r="S41" s="18">
        <v>80000.0</v>
      </c>
      <c r="T41" s="19"/>
      <c r="U41" s="18">
        <v>20924.689999999944</v>
      </c>
      <c r="V41" s="20">
        <v>0.017436315217118085</v>
      </c>
    </row>
    <row r="42" ht="19.5" customHeight="1">
      <c r="A42" s="8" t="s">
        <v>81</v>
      </c>
      <c r="B42" s="18">
        <v>1234232.94</v>
      </c>
      <c r="C42" s="18"/>
      <c r="D42" s="18">
        <v>6459.0</v>
      </c>
      <c r="E42" s="18">
        <v>966.49</v>
      </c>
      <c r="F42" s="18">
        <v>99.45</v>
      </c>
      <c r="G42" s="18">
        <v>857835.0</v>
      </c>
      <c r="H42" s="18">
        <v>635215.0</v>
      </c>
      <c r="I42" s="18">
        <v>222620.0</v>
      </c>
      <c r="J42" s="18"/>
      <c r="K42" s="18"/>
      <c r="L42" s="18">
        <v>222620.0</v>
      </c>
      <c r="M42" s="18">
        <v>457.0</v>
      </c>
      <c r="N42" s="18">
        <v>2092.0</v>
      </c>
      <c r="O42" s="18">
        <v>45000.0</v>
      </c>
      <c r="P42" s="18">
        <v>241324.0</v>
      </c>
      <c r="Q42" s="18"/>
      <c r="R42" s="18"/>
      <c r="S42" s="18">
        <v>80000.0</v>
      </c>
      <c r="T42" s="19"/>
      <c r="U42" s="18">
        <v>13244.48999999999</v>
      </c>
      <c r="V42" s="20">
        <v>0.010847350767322976</v>
      </c>
    </row>
    <row r="43" ht="19.5" customHeight="1">
      <c r="A43" s="8" t="s">
        <v>82</v>
      </c>
      <c r="B43" s="18">
        <v>1248264.64</v>
      </c>
      <c r="C43" s="18"/>
      <c r="D43" s="18">
        <v>27019.0</v>
      </c>
      <c r="E43" s="18">
        <v>413.0</v>
      </c>
      <c r="F43" s="18">
        <v>99.45</v>
      </c>
      <c r="G43" s="18">
        <v>843725.0</v>
      </c>
      <c r="H43" s="18">
        <v>629356.0</v>
      </c>
      <c r="I43" s="18">
        <v>214369.0</v>
      </c>
      <c r="J43" s="18"/>
      <c r="K43" s="18"/>
      <c r="L43" s="18">
        <v>214369.0</v>
      </c>
      <c r="M43" s="18">
        <v>8.19</v>
      </c>
      <c r="N43" s="18">
        <v>2082.0</v>
      </c>
      <c r="O43" s="18">
        <v>45000.0</v>
      </c>
      <c r="P43" s="18">
        <v>249918.0</v>
      </c>
      <c r="Q43" s="21">
        <v>13168.0</v>
      </c>
      <c r="R43" s="21">
        <v>4625.0</v>
      </c>
      <c r="S43" s="18">
        <v>80000.0</v>
      </c>
      <c r="T43" s="19"/>
      <c r="U43" s="18">
        <v>14031.699999999953</v>
      </c>
      <c r="V43" s="20">
        <v>0.011368761556469199</v>
      </c>
    </row>
    <row r="44" ht="19.5" customHeight="1">
      <c r="A44" s="8" t="s">
        <v>83</v>
      </c>
      <c r="B44" s="18">
        <v>1255399.25</v>
      </c>
      <c r="C44" s="18"/>
      <c r="D44" s="18">
        <v>8042.0</v>
      </c>
      <c r="E44" s="18">
        <v>1827.0</v>
      </c>
      <c r="F44" s="18">
        <v>87.0</v>
      </c>
      <c r="G44" s="18">
        <v>861457.0</v>
      </c>
      <c r="H44" s="18">
        <v>596024.0</v>
      </c>
      <c r="I44" s="18">
        <v>265433.0</v>
      </c>
      <c r="J44" s="18"/>
      <c r="K44" s="18"/>
      <c r="L44" s="18">
        <v>265433.0</v>
      </c>
      <c r="M44" s="18">
        <v>1.25</v>
      </c>
      <c r="N44" s="18">
        <v>4473.0</v>
      </c>
      <c r="O44" s="18">
        <v>45000.0</v>
      </c>
      <c r="P44" s="18">
        <v>254512.0</v>
      </c>
      <c r="Q44" s="21">
        <v>-10295.0</v>
      </c>
      <c r="R44" s="21">
        <v>-3492.0</v>
      </c>
      <c r="S44" s="18">
        <v>80000.0</v>
      </c>
      <c r="T44" s="19"/>
      <c r="U44" s="18">
        <v>7134.610000000102</v>
      </c>
      <c r="V44" s="20">
        <v>0.005715622930727336</v>
      </c>
    </row>
    <row r="45" ht="19.5" customHeight="1">
      <c r="A45" s="8" t="s">
        <v>84</v>
      </c>
      <c r="B45" s="18">
        <v>1366379.6099999999</v>
      </c>
      <c r="C45" s="18"/>
      <c r="D45" s="18">
        <v>40342.11</v>
      </c>
      <c r="E45" s="18">
        <v>1328.0</v>
      </c>
      <c r="F45" s="18">
        <v>87.0</v>
      </c>
      <c r="G45" s="18">
        <v>931950.0</v>
      </c>
      <c r="H45" s="18">
        <v>666517.0</v>
      </c>
      <c r="I45" s="18">
        <v>265433.0</v>
      </c>
      <c r="J45" s="18"/>
      <c r="K45" s="18"/>
      <c r="L45" s="18">
        <v>265433.0</v>
      </c>
      <c r="M45" s="18">
        <v>1.5</v>
      </c>
      <c r="N45" s="18">
        <v>4565.0</v>
      </c>
      <c r="O45" s="18">
        <v>45000.0</v>
      </c>
      <c r="P45" s="18">
        <v>263106.0</v>
      </c>
      <c r="Q45" s="21">
        <v>22022.0</v>
      </c>
      <c r="R45" s="21">
        <v>794.0</v>
      </c>
      <c r="S45" s="18">
        <v>80000.0</v>
      </c>
      <c r="T45" s="19"/>
      <c r="U45" s="18">
        <v>110980.35999999987</v>
      </c>
      <c r="V45" s="20">
        <v>0.08840244248990899</v>
      </c>
    </row>
    <row r="46" ht="19.5" customHeight="1">
      <c r="A46" s="8" t="s">
        <v>85</v>
      </c>
      <c r="B46" s="18">
        <v>1374370.94</v>
      </c>
      <c r="C46" s="18"/>
      <c r="D46" s="18">
        <v>3483.0</v>
      </c>
      <c r="E46" s="18">
        <v>10.94</v>
      </c>
      <c r="F46" s="18">
        <v>215.0</v>
      </c>
      <c r="G46" s="18">
        <v>960852.0</v>
      </c>
      <c r="H46" s="18">
        <v>664215.0</v>
      </c>
      <c r="I46" s="18">
        <v>296637.0</v>
      </c>
      <c r="J46" s="18"/>
      <c r="K46" s="18"/>
      <c r="L46" s="18">
        <v>296637.0</v>
      </c>
      <c r="M46" s="18">
        <v>995.0</v>
      </c>
      <c r="N46" s="18">
        <v>3115.0</v>
      </c>
      <c r="O46" s="18">
        <v>40000.0</v>
      </c>
      <c r="P46" s="18">
        <v>269700.0</v>
      </c>
      <c r="Q46" s="21">
        <v>46449.0</v>
      </c>
      <c r="R46" s="21">
        <v>6484.0</v>
      </c>
      <c r="S46" s="18">
        <v>96000.0</v>
      </c>
      <c r="T46" s="19"/>
      <c r="U46" s="18">
        <v>7991.3300000000745</v>
      </c>
      <c r="V46" s="20">
        <v>0.005848543070691808</v>
      </c>
    </row>
    <row r="47" ht="19.5" customHeight="1">
      <c r="A47" s="8" t="s">
        <v>86</v>
      </c>
      <c r="B47" s="18">
        <v>1392509.0</v>
      </c>
      <c r="C47" s="18"/>
      <c r="D47" s="18">
        <v>2980.0</v>
      </c>
      <c r="E47" s="18">
        <v>1701.0</v>
      </c>
      <c r="F47" s="18">
        <v>215.0</v>
      </c>
      <c r="G47" s="18">
        <v>978820.0</v>
      </c>
      <c r="H47" s="18">
        <v>677194.0</v>
      </c>
      <c r="I47" s="18">
        <v>301626.0</v>
      </c>
      <c r="J47" s="18"/>
      <c r="K47" s="18"/>
      <c r="L47" s="18">
        <v>301626.0</v>
      </c>
      <c r="M47" s="18">
        <v>3.0</v>
      </c>
      <c r="N47" s="18">
        <v>3090.0</v>
      </c>
      <c r="O47" s="18">
        <v>40000.0</v>
      </c>
      <c r="P47" s="18">
        <v>269700.0</v>
      </c>
      <c r="Q47" s="18"/>
      <c r="R47" s="18"/>
      <c r="S47" s="18">
        <v>96000.0</v>
      </c>
      <c r="T47" s="19"/>
      <c r="U47" s="18">
        <v>18138.060000000056</v>
      </c>
      <c r="V47" s="20">
        <v>0.013197354129155304</v>
      </c>
    </row>
    <row r="48" ht="19.5" customHeight="1">
      <c r="A48" s="8" t="s">
        <v>87</v>
      </c>
      <c r="B48" s="18">
        <v>1406851.25</v>
      </c>
      <c r="C48" s="18"/>
      <c r="D48" s="18">
        <v>16466.0</v>
      </c>
      <c r="E48" s="18">
        <v>2041.0</v>
      </c>
      <c r="F48" s="18">
        <v>215.0</v>
      </c>
      <c r="G48" s="18">
        <v>991419.0</v>
      </c>
      <c r="H48" s="18">
        <v>691857.0</v>
      </c>
      <c r="I48" s="18">
        <v>299562.0</v>
      </c>
      <c r="J48" s="18"/>
      <c r="K48" s="18"/>
      <c r="L48" s="18">
        <v>299562.0</v>
      </c>
      <c r="M48" s="18">
        <v>1.25</v>
      </c>
      <c r="N48" s="18">
        <v>2415.0</v>
      </c>
      <c r="O48" s="18">
        <v>40000.0</v>
      </c>
      <c r="P48" s="18">
        <v>274294.0</v>
      </c>
      <c r="Q48" s="21">
        <v>-6413.0</v>
      </c>
      <c r="R48" s="21">
        <v>1961.0</v>
      </c>
      <c r="S48" s="18">
        <v>80000.0</v>
      </c>
      <c r="T48" s="19"/>
      <c r="U48" s="18">
        <v>14342.25</v>
      </c>
      <c r="V48" s="20">
        <v>0.010299574365408052</v>
      </c>
    </row>
    <row r="49" ht="18.75" customHeight="1">
      <c r="A49" s="8" t="s">
        <v>88</v>
      </c>
      <c r="B49" s="18">
        <v>1410316.25</v>
      </c>
      <c r="C49" s="18"/>
      <c r="D49" s="18">
        <v>3466.0</v>
      </c>
      <c r="E49" s="18">
        <v>2041.0</v>
      </c>
      <c r="F49" s="18">
        <v>215.0</v>
      </c>
      <c r="G49" s="18">
        <v>957884.0</v>
      </c>
      <c r="H49" s="18">
        <v>658322.0</v>
      </c>
      <c r="I49" s="18">
        <v>299562.0</v>
      </c>
      <c r="J49" s="21"/>
      <c r="K49" s="21"/>
      <c r="L49" s="18">
        <v>299562.0</v>
      </c>
      <c r="M49" s="18">
        <v>1.25</v>
      </c>
      <c r="N49" s="18">
        <v>2415.0</v>
      </c>
      <c r="O49" s="18">
        <v>40000.0</v>
      </c>
      <c r="P49" s="18">
        <v>274294.0</v>
      </c>
      <c r="Q49" s="18"/>
      <c r="R49" s="21">
        <v>5585.0</v>
      </c>
      <c r="S49" s="18">
        <v>130000.0</v>
      </c>
      <c r="T49" s="19" t="s">
        <v>89</v>
      </c>
      <c r="U49" s="18">
        <v>3465.0</v>
      </c>
      <c r="V49" s="20">
        <v>0.0024629469533470577</v>
      </c>
    </row>
    <row r="50" ht="19.5" customHeight="1">
      <c r="A50" s="22" t="s">
        <v>90</v>
      </c>
      <c r="B50" s="18">
        <v>1420365.8900000001</v>
      </c>
      <c r="C50" s="18"/>
      <c r="D50" s="21">
        <v>290.82</v>
      </c>
      <c r="E50" s="21">
        <v>151.0</v>
      </c>
      <c r="F50" s="21">
        <v>28244.0</v>
      </c>
      <c r="G50" s="18">
        <v>936857.0700000001</v>
      </c>
      <c r="H50" s="21">
        <v>600559.0</v>
      </c>
      <c r="I50" s="21">
        <v>0.0</v>
      </c>
      <c r="J50" s="21">
        <v>27075.0</v>
      </c>
      <c r="K50" s="21">
        <v>178537.0</v>
      </c>
      <c r="L50" s="18">
        <v>336298.07</v>
      </c>
      <c r="M50" s="21">
        <v>2.0</v>
      </c>
      <c r="N50" s="21">
        <v>1933.0</v>
      </c>
      <c r="O50" s="21">
        <v>40000.0</v>
      </c>
      <c r="P50" s="21">
        <v>282888.0</v>
      </c>
      <c r="Q50" s="18"/>
      <c r="R50" s="18"/>
      <c r="S50" s="21">
        <v>130000.0</v>
      </c>
      <c r="T50" s="19"/>
      <c r="U50" s="18">
        <v>10049.64000000013</v>
      </c>
      <c r="V50" s="20">
        <v>0.007125806002731749</v>
      </c>
    </row>
    <row r="51" ht="19.5" customHeight="1">
      <c r="A51" s="23">
        <v>46113.0</v>
      </c>
      <c r="B51" s="18">
        <v>1443604.21</v>
      </c>
      <c r="C51" s="18"/>
      <c r="D51" s="21">
        <v>23594.0</v>
      </c>
      <c r="E51" s="21">
        <v>115.0</v>
      </c>
      <c r="F51" s="21">
        <v>28244.0</v>
      </c>
      <c r="G51" s="18">
        <v>936927.21</v>
      </c>
      <c r="H51" s="21">
        <v>593849.0</v>
      </c>
      <c r="I51" s="18"/>
      <c r="J51" s="21">
        <v>27949.0</v>
      </c>
      <c r="K51" s="21">
        <v>179561.0</v>
      </c>
      <c r="L51" s="18">
        <v>343078.20999999996</v>
      </c>
      <c r="M51" s="21">
        <v>2.0</v>
      </c>
      <c r="N51" s="21">
        <v>1834.0</v>
      </c>
      <c r="O51" s="21">
        <v>40000.0</v>
      </c>
      <c r="P51" s="21">
        <v>282888.0</v>
      </c>
      <c r="Q51" s="21">
        <v>5900.0</v>
      </c>
      <c r="R51" s="21">
        <v>24309.0</v>
      </c>
      <c r="S51" s="21">
        <v>130000.0</v>
      </c>
      <c r="T51" s="19"/>
      <c r="U51" s="18">
        <v>23238.319999999832</v>
      </c>
      <c r="V51" s="20">
        <v>0.016360798413710027</v>
      </c>
    </row>
    <row r="52" ht="19.5" customHeight="1">
      <c r="A52" s="23">
        <v>46143.0</v>
      </c>
      <c r="B52" s="18">
        <v>1464026.57</v>
      </c>
      <c r="C52" s="18"/>
      <c r="D52" s="21">
        <v>35403.0</v>
      </c>
      <c r="E52" s="21">
        <v>0.69</v>
      </c>
      <c r="F52" s="21">
        <v>48200.0</v>
      </c>
      <c r="G52" s="18">
        <v>917094.39</v>
      </c>
      <c r="H52" s="21">
        <v>578754.0</v>
      </c>
      <c r="I52" s="18"/>
      <c r="J52" s="21">
        <v>28717.0</v>
      </c>
      <c r="K52" s="21">
        <v>168024.0</v>
      </c>
      <c r="L52" s="18">
        <v>338340.39</v>
      </c>
      <c r="M52" s="21">
        <v>3.49</v>
      </c>
      <c r="N52" s="21">
        <v>1843.0</v>
      </c>
      <c r="O52" s="21">
        <v>40000.0</v>
      </c>
      <c r="P52" s="21">
        <v>291482.0</v>
      </c>
      <c r="Q52" s="21">
        <v>-14244.0</v>
      </c>
      <c r="R52" s="21">
        <v>-5000.0</v>
      </c>
      <c r="S52" s="21">
        <v>130000.0</v>
      </c>
      <c r="T52" s="24" t="s">
        <v>91</v>
      </c>
      <c r="U52" s="18">
        <v>20422.360000000102</v>
      </c>
      <c r="V52" s="20">
        <v>0.014146786119444818</v>
      </c>
    </row>
    <row r="53" ht="19.5" customHeight="1">
      <c r="A53" s="23">
        <v>46174.0</v>
      </c>
      <c r="B53" s="18">
        <v>1427950.74</v>
      </c>
      <c r="C53" s="18"/>
      <c r="D53" s="21">
        <v>29625.0</v>
      </c>
      <c r="E53" s="21">
        <v>1950.0</v>
      </c>
      <c r="F53" s="21">
        <v>4458.0</v>
      </c>
      <c r="G53" s="18">
        <v>922209.74</v>
      </c>
      <c r="H53" s="21">
        <v>560169.0</v>
      </c>
      <c r="I53" s="18"/>
      <c r="J53" s="21">
        <v>33192.0</v>
      </c>
      <c r="K53" s="21">
        <v>160459.0</v>
      </c>
      <c r="L53" s="18">
        <v>362040.74</v>
      </c>
      <c r="M53" s="18"/>
      <c r="N53" s="21">
        <v>1708.0</v>
      </c>
      <c r="O53" s="21">
        <v>40000.0</v>
      </c>
      <c r="P53" s="21">
        <v>298000.0</v>
      </c>
      <c r="Q53" s="18"/>
      <c r="R53" s="18"/>
      <c r="S53" s="21">
        <v>130000.0</v>
      </c>
      <c r="T53" s="24" t="s">
        <v>92</v>
      </c>
      <c r="U53" s="18">
        <v>-36075.830000000075</v>
      </c>
      <c r="V53" s="20">
        <v>-0.024641513165980365</v>
      </c>
    </row>
    <row r="54" ht="19.5" customHeight="1">
      <c r="A54" s="22" t="s">
        <v>93</v>
      </c>
      <c r="B54" s="18">
        <v>1503001.52</v>
      </c>
      <c r="C54" s="18"/>
      <c r="D54" s="21">
        <v>4595.0</v>
      </c>
      <c r="E54" s="21">
        <v>274.0</v>
      </c>
      <c r="F54" s="21">
        <v>20997.0</v>
      </c>
      <c r="G54" s="18">
        <v>1003506.4199999999</v>
      </c>
      <c r="H54" s="21">
        <v>610345.0</v>
      </c>
      <c r="I54" s="18"/>
      <c r="J54" s="21">
        <v>34880.0</v>
      </c>
      <c r="K54" s="21">
        <v>183397.0</v>
      </c>
      <c r="L54" s="18">
        <v>393161.42</v>
      </c>
      <c r="M54" s="21">
        <v>3.1</v>
      </c>
      <c r="N54" s="21">
        <v>1708.0</v>
      </c>
      <c r="O54" s="21">
        <v>40000.0</v>
      </c>
      <c r="P54" s="21">
        <v>301918.0</v>
      </c>
      <c r="Q54" s="18"/>
      <c r="R54" s="18"/>
      <c r="S54" s="21">
        <v>130000.0</v>
      </c>
      <c r="T54" s="19"/>
      <c r="U54" s="18">
        <v>75050.78000000003</v>
      </c>
      <c r="V54" s="20">
        <v>0.05255838167078511</v>
      </c>
    </row>
    <row r="55" ht="19.5" customHeight="1">
      <c r="A55" s="23">
        <v>46204.0</v>
      </c>
      <c r="B55" s="18">
        <v>1526186.72</v>
      </c>
      <c r="C55" s="18"/>
      <c r="D55" s="21">
        <v>22323.0</v>
      </c>
      <c r="E55" s="21">
        <v>6.12</v>
      </c>
      <c r="F55" s="21">
        <v>20994.0</v>
      </c>
      <c r="G55" s="18">
        <v>1000689.5</v>
      </c>
      <c r="H55" s="21">
        <v>601766.0</v>
      </c>
      <c r="I55" s="18"/>
      <c r="J55" s="21">
        <v>35230.0</v>
      </c>
      <c r="K55" s="21">
        <v>187350.0</v>
      </c>
      <c r="L55" s="18">
        <v>398923.5</v>
      </c>
      <c r="M55" s="21">
        <v>3.1</v>
      </c>
      <c r="N55" s="21">
        <v>1659.0</v>
      </c>
      <c r="O55" s="21">
        <v>40000.0</v>
      </c>
      <c r="P55" s="21">
        <v>310512.0</v>
      </c>
      <c r="Q55" s="18"/>
      <c r="R55" s="18"/>
      <c r="S55" s="21">
        <v>130000.0</v>
      </c>
      <c r="T55" s="19"/>
      <c r="U55" s="18">
        <v>23185.199999999953</v>
      </c>
      <c r="V55" s="20">
        <v>0.015425932503381602</v>
      </c>
    </row>
    <row r="56" ht="19.5" customHeight="1">
      <c r="A56" s="22" t="s">
        <v>94</v>
      </c>
      <c r="B56" s="18">
        <v>1548445.4500000002</v>
      </c>
      <c r="C56" s="18"/>
      <c r="D56" s="21">
        <v>5818.0</v>
      </c>
      <c r="E56" s="21">
        <v>526.0</v>
      </c>
      <c r="F56" s="21">
        <v>35993.0</v>
      </c>
      <c r="G56" s="18">
        <v>1023874.35</v>
      </c>
      <c r="H56" s="21">
        <v>631492.0</v>
      </c>
      <c r="I56" s="18"/>
      <c r="J56" s="21">
        <v>35005.0</v>
      </c>
      <c r="K56" s="21">
        <v>181510.0</v>
      </c>
      <c r="L56" s="18">
        <v>392382.35</v>
      </c>
      <c r="M56" s="21">
        <v>3.1</v>
      </c>
      <c r="N56" s="21">
        <v>1719.0</v>
      </c>
      <c r="O56" s="21">
        <v>40000.0</v>
      </c>
      <c r="P56" s="21">
        <v>310512.0</v>
      </c>
      <c r="Q56" s="18"/>
      <c r="R56" s="18"/>
      <c r="S56" s="21">
        <v>130000.0</v>
      </c>
      <c r="T56" s="19"/>
      <c r="U56" s="18">
        <v>22258.730000000214</v>
      </c>
      <c r="V56" s="20">
        <v>0.014584539170934612</v>
      </c>
    </row>
    <row r="57" ht="19.5" customHeight="1">
      <c r="A57" s="22" t="s">
        <v>95</v>
      </c>
      <c r="B57" s="18">
        <v>1507812.45</v>
      </c>
      <c r="C57" s="18"/>
      <c r="D57" s="21">
        <v>2217.0</v>
      </c>
      <c r="E57" s="21">
        <v>17.44</v>
      </c>
      <c r="F57" s="21">
        <v>25142.0</v>
      </c>
      <c r="G57" s="18">
        <v>1005201.91</v>
      </c>
      <c r="H57" s="21">
        <v>599616.0</v>
      </c>
      <c r="I57" s="18"/>
      <c r="J57" s="21">
        <v>36143.0</v>
      </c>
      <c r="K57" s="21">
        <v>187931.0</v>
      </c>
      <c r="L57" s="18">
        <v>405585.91000000003</v>
      </c>
      <c r="M57" s="21">
        <v>3.1</v>
      </c>
      <c r="N57" s="21">
        <v>1719.0</v>
      </c>
      <c r="O57" s="21">
        <v>35000.0</v>
      </c>
      <c r="P57" s="21">
        <v>308512.0</v>
      </c>
      <c r="Q57" s="18"/>
      <c r="R57" s="18"/>
      <c r="S57" s="21">
        <v>130000.0</v>
      </c>
      <c r="T57" s="19"/>
      <c r="U57" s="18">
        <v>-40633.00000000023</v>
      </c>
      <c r="V57" s="20">
        <v>-0.02624115689706746</v>
      </c>
    </row>
    <row r="58" ht="19.5" customHeight="1">
      <c r="A58" s="23">
        <v>46235.0</v>
      </c>
      <c r="B58" s="18">
        <v>1563354.23</v>
      </c>
      <c r="C58" s="18"/>
      <c r="D58" s="21">
        <v>20244.0</v>
      </c>
      <c r="E58" s="21">
        <v>17.44</v>
      </c>
      <c r="F58" s="21">
        <v>25142.0</v>
      </c>
      <c r="G58" s="18">
        <v>1034122.69</v>
      </c>
      <c r="H58" s="21">
        <v>611824.0</v>
      </c>
      <c r="I58" s="18"/>
      <c r="J58" s="21">
        <v>39097.0</v>
      </c>
      <c r="K58" s="21">
        <v>184179.0</v>
      </c>
      <c r="L58" s="18">
        <v>422298.69</v>
      </c>
      <c r="M58" s="21">
        <v>3.1</v>
      </c>
      <c r="N58" s="21">
        <v>1719.0</v>
      </c>
      <c r="O58" s="21">
        <v>35000.0</v>
      </c>
      <c r="P58" s="21">
        <v>317106.0</v>
      </c>
      <c r="Q58" s="18"/>
      <c r="R58" s="18"/>
      <c r="S58" s="21">
        <v>130000.0</v>
      </c>
      <c r="T58" s="24" t="s">
        <v>96</v>
      </c>
      <c r="U58" s="18">
        <v>55541.78000000003</v>
      </c>
      <c r="V58" s="20">
        <v>0.03683600039248915</v>
      </c>
    </row>
    <row r="59" ht="19.5" customHeight="1">
      <c r="A59" s="23">
        <v>46266.0</v>
      </c>
      <c r="B59" s="18">
        <v>1532314.9300000002</v>
      </c>
      <c r="C59" s="18"/>
      <c r="D59" s="21">
        <v>4323.0</v>
      </c>
      <c r="E59" s="21">
        <v>2136.0</v>
      </c>
      <c r="F59" s="21">
        <v>19124.0</v>
      </c>
      <c r="G59" s="21">
        <v>1018246.15</v>
      </c>
      <c r="H59" s="21">
        <v>573944.0</v>
      </c>
      <c r="I59" s="18"/>
      <c r="J59" s="21">
        <v>41919.0</v>
      </c>
      <c r="K59" s="21">
        <v>187615.0</v>
      </c>
      <c r="L59" s="18">
        <v>444302.15</v>
      </c>
      <c r="M59" s="21">
        <v>1.78</v>
      </c>
      <c r="N59" s="21">
        <v>1394.0</v>
      </c>
      <c r="O59" s="21">
        <v>35000.0</v>
      </c>
      <c r="P59" s="21">
        <v>322090.0</v>
      </c>
      <c r="Q59" s="18"/>
      <c r="R59" s="18"/>
      <c r="S59" s="21">
        <v>130000.0</v>
      </c>
      <c r="T59" s="24" t="s">
        <v>97</v>
      </c>
      <c r="U59" s="18">
        <v>-31039.299999999814</v>
      </c>
      <c r="V59" s="20">
        <v>-0.0198542975125988</v>
      </c>
    </row>
    <row r="60" ht="19.5" customHeight="1">
      <c r="A60" s="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9"/>
      <c r="U60" s="18"/>
      <c r="V60" s="20"/>
    </row>
    <row r="61" ht="19.5" customHeight="1">
      <c r="A61" s="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9"/>
      <c r="U61" s="18"/>
      <c r="V61" s="20"/>
    </row>
    <row r="62" ht="19.5" customHeight="1">
      <c r="A62" s="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9"/>
      <c r="U62" s="18"/>
      <c r="V62" s="20"/>
    </row>
    <row r="63" ht="19.5" customHeight="1">
      <c r="A63" s="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9"/>
      <c r="U63" s="18"/>
      <c r="V63" s="20"/>
    </row>
    <row r="64" ht="19.5" customHeight="1">
      <c r="A64" s="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9"/>
      <c r="U64" s="18"/>
      <c r="V64" s="20"/>
    </row>
    <row r="65" ht="19.5" customHeight="1">
      <c r="A65" s="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9"/>
      <c r="U65" s="18"/>
      <c r="V65" s="20"/>
    </row>
    <row r="66" ht="19.5" customHeight="1">
      <c r="A66" s="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9"/>
      <c r="U66" s="18"/>
      <c r="V66" s="20"/>
    </row>
    <row r="67" ht="19.5" customHeight="1">
      <c r="A67" s="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9"/>
      <c r="U67" s="18"/>
      <c r="V67" s="20"/>
    </row>
    <row r="68" ht="19.5" customHeight="1">
      <c r="A68" s="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9"/>
      <c r="U68" s="18"/>
      <c r="V68" s="20"/>
    </row>
    <row r="69" ht="19.5" customHeight="1">
      <c r="A69" s="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9"/>
      <c r="U69" s="18"/>
      <c r="V69" s="20"/>
    </row>
    <row r="70" ht="19.5" customHeight="1">
      <c r="A70" s="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9"/>
      <c r="U70" s="18"/>
      <c r="V70" s="20"/>
    </row>
    <row r="71" ht="19.5" customHeight="1">
      <c r="A71" s="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9"/>
      <c r="U71" s="18"/>
      <c r="V71" s="20"/>
    </row>
    <row r="72" ht="19.5" customHeight="1">
      <c r="A72" s="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9"/>
      <c r="U72" s="18"/>
      <c r="V72" s="20"/>
    </row>
    <row r="73" ht="19.5" customHeight="1">
      <c r="A73" s="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9"/>
      <c r="U73" s="18"/>
      <c r="V73" s="20"/>
    </row>
    <row r="74" ht="19.5" customHeight="1">
      <c r="A74" s="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9"/>
      <c r="U74" s="18"/>
      <c r="V74" s="20"/>
    </row>
    <row r="75" ht="19.5" customHeight="1">
      <c r="A75" s="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9"/>
      <c r="U75" s="18"/>
      <c r="V75" s="20"/>
    </row>
    <row r="76" ht="19.5" customHeight="1">
      <c r="A76" s="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9"/>
      <c r="U76" s="18"/>
      <c r="V76" s="20"/>
    </row>
    <row r="77" ht="19.5" customHeight="1">
      <c r="A77" s="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9"/>
      <c r="U77" s="18"/>
      <c r="V77" s="20"/>
    </row>
    <row r="78" ht="19.5" customHeight="1">
      <c r="A78" s="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9"/>
      <c r="U78" s="18"/>
      <c r="V78" s="20"/>
    </row>
    <row r="79" ht="19.5" customHeight="1">
      <c r="A79" s="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9"/>
      <c r="U79" s="18"/>
      <c r="V79" s="20"/>
    </row>
    <row r="80" ht="19.5" customHeight="1">
      <c r="A80" s="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9"/>
      <c r="U80" s="18"/>
      <c r="V80" s="20"/>
    </row>
    <row r="81" ht="19.5" customHeight="1">
      <c r="A81" s="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9"/>
      <c r="U81" s="18"/>
      <c r="V81" s="20"/>
    </row>
    <row r="82" ht="19.5" customHeight="1">
      <c r="A82" s="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9"/>
      <c r="U82" s="18"/>
      <c r="V82" s="20"/>
    </row>
    <row r="83" ht="19.5" customHeight="1">
      <c r="A83" s="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9"/>
      <c r="U83" s="18"/>
      <c r="V83" s="20"/>
    </row>
    <row r="84" ht="19.5" customHeight="1">
      <c r="A84" s="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9"/>
      <c r="U84" s="18"/>
      <c r="V84" s="20"/>
    </row>
    <row r="85" ht="19.5" customHeight="1">
      <c r="A85" s="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9"/>
      <c r="U85" s="18"/>
      <c r="V85" s="20"/>
    </row>
    <row r="86" ht="19.5" customHeight="1">
      <c r="A86" s="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9"/>
      <c r="U86" s="18"/>
      <c r="V86" s="20"/>
    </row>
    <row r="87" ht="19.5" customHeight="1">
      <c r="A87" s="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9"/>
      <c r="U87" s="18"/>
      <c r="V87" s="20"/>
    </row>
    <row r="88" ht="19.5" customHeight="1">
      <c r="A88" s="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9"/>
      <c r="U88" s="18"/>
      <c r="V88" s="20"/>
    </row>
    <row r="89" ht="19.5" customHeight="1">
      <c r="A89" s="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9"/>
      <c r="U89" s="18"/>
      <c r="V89" s="20"/>
    </row>
    <row r="90" ht="19.5" customHeight="1">
      <c r="A90" s="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9"/>
      <c r="U90" s="18"/>
      <c r="V90" s="20"/>
    </row>
    <row r="91" ht="19.5" customHeight="1">
      <c r="A91" s="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9"/>
      <c r="U91" s="18"/>
      <c r="V91" s="20"/>
    </row>
    <row r="92" ht="19.5" customHeight="1">
      <c r="A92" s="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9"/>
      <c r="U92" s="18"/>
      <c r="V92" s="20"/>
    </row>
    <row r="93" ht="19.5" customHeight="1">
      <c r="A93" s="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9"/>
      <c r="U93" s="18"/>
      <c r="V93" s="20"/>
    </row>
    <row r="94" ht="19.5" customHeight="1">
      <c r="A94" s="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9"/>
      <c r="U94" s="18"/>
      <c r="V94" s="20"/>
    </row>
    <row r="95" ht="19.5" customHeight="1">
      <c r="A95" s="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9"/>
      <c r="U95" s="18"/>
      <c r="V95" s="20"/>
    </row>
    <row r="96" ht="19.5" customHeight="1">
      <c r="A96" s="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9"/>
      <c r="U96" s="18"/>
      <c r="V96" s="20"/>
    </row>
    <row r="97" ht="19.5" customHeight="1">
      <c r="A97" s="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9"/>
      <c r="U97" s="18"/>
      <c r="V97" s="20"/>
    </row>
    <row r="98" ht="19.5" customHeight="1">
      <c r="A98" s="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9"/>
      <c r="U98" s="18"/>
      <c r="V98" s="20"/>
    </row>
    <row r="99" ht="19.5" customHeight="1">
      <c r="A99" s="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9"/>
      <c r="U99" s="18"/>
      <c r="V99" s="20"/>
    </row>
    <row r="100" ht="19.5" customHeight="1">
      <c r="A100" s="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/>
      <c r="U100" s="18"/>
      <c r="V100" s="20"/>
    </row>
    <row r="101" ht="19.5" customHeight="1">
      <c r="A101" s="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9"/>
      <c r="U101" s="18"/>
      <c r="V101" s="20"/>
    </row>
    <row r="102" ht="19.5" customHeight="1">
      <c r="A102" s="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9"/>
      <c r="U102" s="18"/>
      <c r="V102" s="20"/>
    </row>
    <row r="103" ht="19.5" customHeight="1">
      <c r="A103" s="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9"/>
      <c r="U103" s="18"/>
      <c r="V103" s="20"/>
    </row>
    <row r="104" ht="19.5" customHeight="1">
      <c r="A104" s="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9"/>
      <c r="U104" s="18"/>
      <c r="V104" s="20"/>
    </row>
    <row r="105" ht="19.5" customHeight="1">
      <c r="A105" s="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/>
      <c r="U105" s="18"/>
      <c r="V105" s="20"/>
    </row>
    <row r="106" ht="19.5" customHeight="1">
      <c r="A106" s="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9"/>
      <c r="U106" s="18"/>
      <c r="V106" s="20"/>
    </row>
    <row r="107" ht="19.5" customHeight="1">
      <c r="A107" s="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9"/>
      <c r="U107" s="18"/>
      <c r="V107" s="20"/>
    </row>
    <row r="108" ht="19.5" customHeight="1">
      <c r="A108" s="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9"/>
      <c r="U108" s="18"/>
      <c r="V108" s="20"/>
    </row>
    <row r="109" ht="19.5" customHeight="1">
      <c r="A109" s="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9"/>
      <c r="U109" s="18"/>
      <c r="V109" s="20"/>
    </row>
    <row r="110" ht="19.5" customHeight="1">
      <c r="A110" s="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9"/>
      <c r="U110" s="18"/>
      <c r="V110" s="20"/>
    </row>
    <row r="111" ht="19.5" customHeight="1">
      <c r="A111" s="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9"/>
      <c r="U111" s="18"/>
      <c r="V111" s="20"/>
    </row>
    <row r="112" ht="19.5" customHeight="1">
      <c r="A112" s="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9"/>
      <c r="U112" s="18"/>
      <c r="V112" s="20"/>
    </row>
    <row r="113" ht="19.5" customHeight="1">
      <c r="A113" s="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9"/>
      <c r="U113" s="18"/>
      <c r="V113" s="20"/>
    </row>
    <row r="114" ht="19.5" customHeight="1">
      <c r="A114" s="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9"/>
      <c r="U114" s="18"/>
      <c r="V114" s="20"/>
    </row>
    <row r="115" ht="19.5" customHeight="1">
      <c r="A115" s="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9"/>
      <c r="U115" s="18"/>
      <c r="V115" s="20"/>
    </row>
    <row r="116" ht="19.5" customHeight="1">
      <c r="A116" s="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9"/>
      <c r="U116" s="18"/>
      <c r="V116" s="20"/>
    </row>
    <row r="117" ht="19.5" customHeight="1">
      <c r="A117" s="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9"/>
      <c r="U117" s="18"/>
      <c r="V117" s="20"/>
    </row>
    <row r="118" ht="19.5" customHeight="1">
      <c r="A118" s="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9"/>
      <c r="U118" s="18"/>
      <c r="V118" s="20"/>
    </row>
    <row r="119" ht="19.5" customHeight="1">
      <c r="A119" s="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9"/>
      <c r="U119" s="18"/>
      <c r="V119" s="20"/>
    </row>
    <row r="120" ht="19.5" customHeight="1">
      <c r="A120" s="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9"/>
      <c r="U120" s="18"/>
      <c r="V120" s="20"/>
    </row>
    <row r="121" ht="19.5" customHeight="1">
      <c r="A121" s="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9"/>
      <c r="U121" s="18"/>
      <c r="V121" s="20"/>
    </row>
    <row r="122" ht="19.5" customHeight="1">
      <c r="A122" s="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9"/>
      <c r="U122" s="18"/>
      <c r="V122" s="20"/>
    </row>
    <row r="123" ht="19.5" customHeight="1">
      <c r="A123" s="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9"/>
      <c r="U123" s="18"/>
      <c r="V123" s="20"/>
    </row>
    <row r="124" ht="19.5" customHeight="1">
      <c r="A124" s="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9"/>
      <c r="U124" s="18"/>
      <c r="V124" s="20"/>
    </row>
    <row r="125" ht="19.5" customHeight="1">
      <c r="A125" s="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9"/>
      <c r="U125" s="18"/>
      <c r="V125" s="20"/>
    </row>
    <row r="126" ht="19.5" customHeight="1">
      <c r="A126" s="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9"/>
      <c r="U126" s="18"/>
      <c r="V126" s="20"/>
    </row>
    <row r="127" ht="19.5" customHeight="1">
      <c r="A127" s="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9"/>
      <c r="U127" s="18"/>
      <c r="V127" s="20"/>
    </row>
    <row r="128" ht="19.5" customHeight="1">
      <c r="A128" s="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9"/>
      <c r="U128" s="18"/>
      <c r="V128" s="20"/>
    </row>
    <row r="129" ht="19.5" customHeight="1">
      <c r="A129" s="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9"/>
      <c r="U129" s="18"/>
      <c r="V129" s="20"/>
    </row>
    <row r="130" ht="19.5" customHeight="1">
      <c r="A130" s="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9"/>
      <c r="U130" s="18"/>
      <c r="V130" s="20"/>
    </row>
    <row r="131" ht="19.5" customHeight="1">
      <c r="A131" s="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9"/>
      <c r="U131" s="18"/>
      <c r="V131" s="20"/>
    </row>
    <row r="132" ht="19.5" customHeight="1">
      <c r="A132" s="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9"/>
      <c r="U132" s="18"/>
      <c r="V132" s="20"/>
    </row>
    <row r="133" ht="19.5" customHeight="1">
      <c r="A133" s="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9"/>
      <c r="U133" s="18"/>
      <c r="V133" s="20"/>
    </row>
    <row r="134" ht="19.5" customHeight="1">
      <c r="A134" s="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9"/>
      <c r="U134" s="18"/>
      <c r="V134" s="20"/>
    </row>
    <row r="135" ht="19.5" customHeight="1">
      <c r="A135" s="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9"/>
      <c r="U135" s="18"/>
      <c r="V135" s="20"/>
    </row>
    <row r="136" ht="19.5" customHeight="1">
      <c r="A136" s="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9"/>
      <c r="U136" s="18"/>
      <c r="V136" s="20"/>
    </row>
    <row r="137" ht="19.5" customHeight="1">
      <c r="A137" s="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9"/>
      <c r="U137" s="18"/>
      <c r="V137" s="20"/>
    </row>
    <row r="138" ht="19.5" customHeight="1">
      <c r="A138" s="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9"/>
      <c r="U138" s="18"/>
      <c r="V138" s="20"/>
    </row>
    <row r="139" ht="19.5" customHeight="1">
      <c r="A139" s="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9"/>
      <c r="U139" s="18"/>
      <c r="V139" s="20"/>
    </row>
    <row r="140" ht="19.5" customHeight="1">
      <c r="A140" s="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9"/>
      <c r="U140" s="18"/>
      <c r="V140" s="20"/>
    </row>
    <row r="141" ht="19.5" customHeight="1">
      <c r="A141" s="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9"/>
      <c r="U141" s="18"/>
      <c r="V141" s="20"/>
    </row>
    <row r="142" ht="19.5" customHeight="1">
      <c r="A142" s="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9"/>
      <c r="U142" s="18"/>
      <c r="V142" s="20"/>
    </row>
    <row r="143" ht="19.5" customHeight="1">
      <c r="A143" s="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9"/>
      <c r="U143" s="18"/>
      <c r="V143" s="20"/>
    </row>
    <row r="144" ht="19.5" customHeight="1">
      <c r="A144" s="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9"/>
      <c r="U144" s="18"/>
      <c r="V144" s="20"/>
    </row>
    <row r="145" ht="19.5" customHeight="1">
      <c r="A145" s="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9"/>
      <c r="U145" s="18"/>
      <c r="V145" s="20"/>
    </row>
    <row r="146" ht="19.5" customHeight="1">
      <c r="A146" s="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9"/>
      <c r="U146" s="18"/>
      <c r="V146" s="20"/>
    </row>
    <row r="147" ht="19.5" customHeight="1">
      <c r="A147" s="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9"/>
      <c r="U147" s="18"/>
      <c r="V147" s="20"/>
    </row>
    <row r="148" ht="19.5" customHeight="1">
      <c r="A148" s="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9"/>
      <c r="U148" s="18"/>
      <c r="V148" s="20"/>
    </row>
    <row r="149" ht="19.5" customHeight="1">
      <c r="A149" s="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9"/>
      <c r="U149" s="18"/>
      <c r="V149" s="20"/>
    </row>
    <row r="150" ht="19.5" customHeight="1">
      <c r="A150" s="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9"/>
      <c r="U150" s="18"/>
      <c r="V150" s="20"/>
    </row>
    <row r="151" ht="19.5" customHeight="1">
      <c r="A151" s="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9"/>
      <c r="U151" s="18"/>
      <c r="V151" s="20"/>
    </row>
    <row r="152" ht="19.5" customHeight="1">
      <c r="A152" s="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9"/>
      <c r="U152" s="18"/>
      <c r="V152" s="20"/>
    </row>
    <row r="153" ht="19.5" customHeight="1">
      <c r="A153" s="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9"/>
      <c r="U153" s="18"/>
      <c r="V153" s="20"/>
    </row>
    <row r="154" ht="19.5" customHeight="1">
      <c r="A154" s="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9"/>
      <c r="U154" s="18"/>
      <c r="V154" s="20"/>
    </row>
    <row r="155" ht="19.5" customHeight="1">
      <c r="A155" s="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9"/>
      <c r="U155" s="18"/>
      <c r="V155" s="20"/>
    </row>
    <row r="156" ht="19.5" customHeight="1">
      <c r="A156" s="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9"/>
      <c r="U156" s="18"/>
      <c r="V156" s="20"/>
    </row>
    <row r="157" ht="19.5" customHeight="1">
      <c r="A157" s="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9"/>
      <c r="U157" s="18"/>
      <c r="V157" s="20"/>
    </row>
    <row r="158" ht="19.5" customHeight="1">
      <c r="A158" s="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9"/>
      <c r="U158" s="18"/>
      <c r="V158" s="20"/>
    </row>
    <row r="159" ht="19.5" customHeight="1">
      <c r="A159" s="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9"/>
      <c r="U159" s="18"/>
      <c r="V159" s="20"/>
    </row>
    <row r="160" ht="19.5" customHeight="1">
      <c r="A160" s="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9"/>
      <c r="U160" s="18"/>
      <c r="V160" s="20"/>
    </row>
    <row r="161" ht="19.5" customHeight="1">
      <c r="A161" s="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9"/>
      <c r="U161" s="18"/>
      <c r="V161" s="20"/>
    </row>
    <row r="162" ht="19.5" customHeight="1">
      <c r="A162" s="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9"/>
      <c r="U162" s="18"/>
      <c r="V162" s="20"/>
    </row>
    <row r="163" ht="19.5" customHeight="1">
      <c r="A163" s="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9"/>
      <c r="U163" s="18"/>
      <c r="V163" s="20"/>
    </row>
    <row r="164" ht="19.5" customHeight="1">
      <c r="A164" s="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9"/>
      <c r="U164" s="18"/>
      <c r="V164" s="20"/>
    </row>
    <row r="165" ht="19.5" customHeight="1">
      <c r="A165" s="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9"/>
      <c r="U165" s="18"/>
      <c r="V165" s="20"/>
    </row>
    <row r="166" ht="19.5" customHeight="1">
      <c r="A166" s="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9"/>
      <c r="U166" s="18"/>
      <c r="V166" s="20"/>
    </row>
    <row r="167" ht="19.5" customHeight="1">
      <c r="A167" s="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9"/>
      <c r="U167" s="18"/>
      <c r="V167" s="20"/>
    </row>
    <row r="168" ht="19.5" customHeight="1">
      <c r="A168" s="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9"/>
      <c r="U168" s="18"/>
      <c r="V168" s="20"/>
    </row>
    <row r="169" ht="19.5" customHeight="1">
      <c r="A169" s="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9"/>
      <c r="U169" s="18"/>
      <c r="V169" s="20"/>
    </row>
    <row r="170" ht="19.5" customHeight="1">
      <c r="A170" s="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9"/>
      <c r="U170" s="18"/>
      <c r="V170" s="20"/>
    </row>
    <row r="171" ht="19.5" customHeight="1">
      <c r="A171" s="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9"/>
      <c r="U171" s="18"/>
      <c r="V171" s="20"/>
    </row>
    <row r="172" ht="19.5" customHeight="1">
      <c r="A172" s="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9"/>
      <c r="U172" s="18"/>
      <c r="V172" s="20"/>
    </row>
    <row r="173" ht="19.5" customHeight="1">
      <c r="A173" s="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9"/>
      <c r="U173" s="18"/>
      <c r="V173" s="20"/>
    </row>
    <row r="174" ht="19.5" customHeight="1">
      <c r="A174" s="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9"/>
      <c r="U174" s="18"/>
      <c r="V174" s="20"/>
    </row>
    <row r="175" ht="19.5" customHeight="1">
      <c r="A175" s="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9"/>
      <c r="U175" s="18"/>
      <c r="V175" s="20"/>
    </row>
    <row r="176" ht="19.5" customHeight="1">
      <c r="A176" s="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9"/>
      <c r="U176" s="18"/>
      <c r="V176" s="20"/>
    </row>
    <row r="177" ht="19.5" customHeight="1">
      <c r="A177" s="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9"/>
      <c r="U177" s="18"/>
      <c r="V177" s="20"/>
    </row>
    <row r="178" ht="19.5" customHeight="1">
      <c r="A178" s="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9"/>
      <c r="U178" s="18"/>
      <c r="V178" s="20"/>
    </row>
    <row r="179" ht="19.5" customHeight="1">
      <c r="A179" s="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9"/>
      <c r="U179" s="18"/>
      <c r="V179" s="20"/>
    </row>
    <row r="180" ht="19.5" customHeight="1">
      <c r="A180" s="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9"/>
      <c r="U180" s="18"/>
      <c r="V180" s="20"/>
    </row>
    <row r="181" ht="19.5" customHeight="1">
      <c r="A181" s="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9"/>
      <c r="U181" s="18"/>
      <c r="V181" s="20"/>
    </row>
    <row r="182" ht="19.5" customHeight="1">
      <c r="A182" s="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9"/>
      <c r="U182" s="18"/>
      <c r="V182" s="20"/>
    </row>
    <row r="183" ht="19.5" customHeight="1">
      <c r="A183" s="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9"/>
      <c r="U183" s="18"/>
      <c r="V183" s="20"/>
    </row>
    <row r="184" ht="19.5" customHeight="1">
      <c r="A184" s="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9"/>
      <c r="U184" s="18"/>
      <c r="V184" s="20"/>
    </row>
    <row r="185" ht="19.5" customHeight="1">
      <c r="A185" s="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9"/>
      <c r="U185" s="18"/>
      <c r="V185" s="20"/>
    </row>
    <row r="186" ht="19.5" customHeight="1">
      <c r="A186" s="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9"/>
      <c r="U186" s="18"/>
      <c r="V186" s="20"/>
    </row>
    <row r="187" ht="19.5" customHeight="1">
      <c r="A187" s="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9"/>
      <c r="U187" s="18"/>
      <c r="V187" s="20"/>
    </row>
    <row r="188" ht="19.5" customHeight="1">
      <c r="A188" s="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9"/>
      <c r="U188" s="18"/>
      <c r="V188" s="20"/>
    </row>
    <row r="189" ht="19.5" customHeight="1">
      <c r="A189" s="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9"/>
      <c r="U189" s="18"/>
      <c r="V189" s="20"/>
    </row>
    <row r="190" ht="19.5" customHeight="1">
      <c r="A190" s="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9"/>
      <c r="U190" s="18"/>
      <c r="V190" s="20"/>
    </row>
    <row r="191" ht="19.5" customHeight="1">
      <c r="A191" s="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9"/>
      <c r="U191" s="18"/>
      <c r="V191" s="20"/>
    </row>
    <row r="192" ht="19.5" customHeight="1">
      <c r="A192" s="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9"/>
      <c r="U192" s="18"/>
      <c r="V192" s="20"/>
    </row>
    <row r="193" ht="19.5" customHeight="1">
      <c r="A193" s="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9"/>
      <c r="U193" s="18"/>
      <c r="V193" s="20"/>
    </row>
    <row r="194" ht="19.5" customHeight="1">
      <c r="A194" s="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9"/>
      <c r="U194" s="18"/>
      <c r="V194" s="20"/>
    </row>
    <row r="195" ht="19.5" customHeight="1">
      <c r="A195" s="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9"/>
      <c r="U195" s="18"/>
      <c r="V195" s="20"/>
    </row>
    <row r="196" ht="19.5" customHeight="1">
      <c r="A196" s="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9"/>
      <c r="U196" s="18"/>
      <c r="V196" s="20"/>
    </row>
    <row r="197" ht="19.5" customHeight="1">
      <c r="A197" s="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9"/>
      <c r="U197" s="18"/>
      <c r="V197" s="20"/>
    </row>
    <row r="198" ht="19.5" customHeight="1">
      <c r="A198" s="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9"/>
      <c r="U198" s="18"/>
      <c r="V198" s="20"/>
    </row>
    <row r="199" ht="19.5" customHeight="1">
      <c r="A199" s="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9"/>
      <c r="U199" s="18"/>
      <c r="V199" s="20"/>
    </row>
    <row r="200" ht="19.5" customHeight="1">
      <c r="A200" s="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9"/>
      <c r="U200" s="18"/>
      <c r="V200" s="20"/>
    </row>
    <row r="201" ht="19.5" customHeight="1">
      <c r="A201" s="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9"/>
      <c r="U201" s="18"/>
      <c r="V201" s="20"/>
    </row>
    <row r="202" ht="19.5" customHeight="1">
      <c r="A202" s="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9"/>
      <c r="U202" s="18"/>
      <c r="V202" s="20"/>
    </row>
    <row r="203" ht="19.5" customHeight="1">
      <c r="A203" s="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9"/>
      <c r="U203" s="18"/>
      <c r="V203" s="20"/>
    </row>
    <row r="204" ht="19.5" customHeight="1">
      <c r="A204" s="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9"/>
      <c r="U204" s="18"/>
      <c r="V204" s="20"/>
    </row>
    <row r="205" ht="19.5" customHeight="1">
      <c r="A205" s="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9"/>
      <c r="U205" s="18"/>
      <c r="V205" s="20"/>
    </row>
    <row r="206" ht="19.5" customHeight="1">
      <c r="A206" s="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9"/>
      <c r="U206" s="18"/>
      <c r="V206" s="20"/>
    </row>
    <row r="207" ht="19.5" customHeight="1">
      <c r="A207" s="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9"/>
      <c r="U207" s="18"/>
      <c r="V207" s="20"/>
    </row>
    <row r="208" ht="19.5" customHeight="1">
      <c r="A208" s="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9"/>
      <c r="U208" s="18"/>
      <c r="V208" s="20"/>
    </row>
    <row r="209" ht="19.5" customHeight="1">
      <c r="A209" s="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9"/>
      <c r="U209" s="18"/>
      <c r="V209" s="20"/>
    </row>
    <row r="210" ht="19.5" customHeight="1">
      <c r="A210" s="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9"/>
      <c r="U210" s="18"/>
      <c r="V210" s="20"/>
    </row>
    <row r="211" ht="19.5" customHeight="1">
      <c r="A211" s="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9"/>
      <c r="U211" s="18"/>
      <c r="V211" s="20"/>
    </row>
    <row r="212" ht="19.5" customHeight="1">
      <c r="A212" s="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9"/>
      <c r="U212" s="18"/>
      <c r="V212" s="20"/>
    </row>
    <row r="213" ht="19.5" customHeight="1">
      <c r="A213" s="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9"/>
      <c r="U213" s="18"/>
      <c r="V213" s="20"/>
    </row>
    <row r="214" ht="19.5" customHeight="1">
      <c r="A214" s="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9"/>
      <c r="U214" s="18"/>
      <c r="V214" s="20"/>
    </row>
    <row r="215" ht="19.5" customHeight="1">
      <c r="A215" s="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9"/>
      <c r="U215" s="18"/>
      <c r="V215" s="20"/>
    </row>
    <row r="216" ht="19.5" customHeight="1">
      <c r="A216" s="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9"/>
      <c r="U216" s="18"/>
      <c r="V216" s="20"/>
    </row>
    <row r="217" ht="19.5" customHeight="1">
      <c r="A217" s="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9"/>
      <c r="U217" s="18"/>
      <c r="V217" s="20"/>
    </row>
    <row r="218" ht="19.5" customHeight="1">
      <c r="A218" s="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9"/>
      <c r="U218" s="18"/>
      <c r="V218" s="20"/>
    </row>
    <row r="219" ht="19.5" customHeight="1">
      <c r="A219" s="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9"/>
      <c r="U219" s="18"/>
      <c r="V219" s="20"/>
    </row>
    <row r="220" ht="19.5" customHeight="1">
      <c r="A220" s="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9"/>
      <c r="U220" s="18"/>
      <c r="V220" s="20"/>
    </row>
    <row r="221" ht="19.5" customHeight="1">
      <c r="A221" s="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9"/>
      <c r="U221" s="18"/>
      <c r="V221" s="20"/>
    </row>
    <row r="222" ht="19.5" customHeight="1">
      <c r="A222" s="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9"/>
      <c r="U222" s="18"/>
      <c r="V222" s="20"/>
    </row>
    <row r="223" ht="19.5" customHeight="1">
      <c r="A223" s="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9"/>
      <c r="U223" s="18"/>
      <c r="V223" s="20"/>
    </row>
    <row r="224" ht="19.5" customHeight="1">
      <c r="A224" s="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9"/>
      <c r="U224" s="18"/>
      <c r="V224" s="20"/>
    </row>
    <row r="225" ht="19.5" customHeight="1">
      <c r="A225" s="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9"/>
      <c r="U225" s="18"/>
      <c r="V225" s="20"/>
    </row>
    <row r="226" ht="19.5" customHeight="1">
      <c r="A226" s="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9"/>
      <c r="U226" s="18"/>
      <c r="V226" s="20"/>
    </row>
    <row r="227" ht="19.5" customHeight="1">
      <c r="A227" s="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9"/>
      <c r="U227" s="18"/>
      <c r="V227" s="20"/>
    </row>
    <row r="228" ht="19.5" customHeight="1">
      <c r="A228" s="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9"/>
      <c r="U228" s="18"/>
      <c r="V228" s="20"/>
    </row>
    <row r="229" ht="19.5" customHeight="1">
      <c r="A229" s="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9"/>
      <c r="U229" s="18"/>
      <c r="V229" s="20"/>
    </row>
    <row r="230" ht="19.5" customHeight="1">
      <c r="A230" s="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9"/>
      <c r="U230" s="18"/>
      <c r="V230" s="20"/>
    </row>
    <row r="231" ht="19.5" customHeight="1">
      <c r="A231" s="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9"/>
      <c r="U231" s="18"/>
      <c r="V231" s="20"/>
    </row>
    <row r="232" ht="19.5" customHeight="1">
      <c r="A232" s="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9"/>
      <c r="U232" s="18"/>
      <c r="V232" s="20"/>
    </row>
    <row r="233" ht="19.5" customHeight="1">
      <c r="A233" s="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9"/>
      <c r="U233" s="18"/>
      <c r="V233" s="20"/>
    </row>
    <row r="234" ht="19.5" customHeight="1">
      <c r="A234" s="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9"/>
      <c r="U234" s="18"/>
      <c r="V234" s="20"/>
    </row>
    <row r="235" ht="19.5" customHeight="1">
      <c r="A235" s="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9"/>
      <c r="U235" s="18"/>
      <c r="V235" s="20"/>
    </row>
    <row r="236" ht="19.5" customHeight="1">
      <c r="A236" s="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9"/>
      <c r="U236" s="18"/>
      <c r="V236" s="20"/>
    </row>
    <row r="237" ht="19.5" customHeight="1">
      <c r="A237" s="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9"/>
      <c r="U237" s="18"/>
      <c r="V237" s="20"/>
    </row>
    <row r="238" ht="19.5" customHeight="1">
      <c r="A238" s="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9"/>
      <c r="U238" s="18"/>
      <c r="V238" s="20"/>
    </row>
    <row r="239" ht="19.5" customHeight="1">
      <c r="A239" s="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9"/>
      <c r="U239" s="18"/>
      <c r="V239" s="20"/>
    </row>
    <row r="240" ht="19.5" customHeight="1">
      <c r="A240" s="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9"/>
      <c r="U240" s="18"/>
      <c r="V240" s="20"/>
    </row>
    <row r="241" ht="19.5" customHeight="1">
      <c r="A241" s="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9"/>
      <c r="U241" s="18"/>
      <c r="V241" s="20"/>
    </row>
    <row r="242" ht="19.5" customHeight="1">
      <c r="A242" s="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9"/>
      <c r="U242" s="18"/>
      <c r="V242" s="20"/>
    </row>
    <row r="243" ht="19.5" customHeight="1">
      <c r="A243" s="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9"/>
      <c r="U243" s="18"/>
      <c r="V243" s="20"/>
    </row>
    <row r="244" ht="19.5" customHeight="1">
      <c r="A244" s="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9"/>
      <c r="U244" s="18"/>
      <c r="V244" s="20"/>
    </row>
    <row r="245" ht="19.5" customHeight="1">
      <c r="A245" s="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9"/>
      <c r="U245" s="18"/>
      <c r="V245" s="20"/>
    </row>
    <row r="246" ht="19.5" customHeight="1">
      <c r="A246" s="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9"/>
      <c r="U246" s="18"/>
      <c r="V246" s="20"/>
    </row>
    <row r="247" ht="19.5" customHeight="1">
      <c r="A247" s="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9"/>
      <c r="U247" s="18"/>
      <c r="V247" s="20"/>
    </row>
    <row r="248" ht="19.5" customHeight="1">
      <c r="A248" s="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9"/>
      <c r="U248" s="18"/>
      <c r="V248" s="20"/>
    </row>
    <row r="249" ht="19.5" customHeight="1">
      <c r="A249" s="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9"/>
      <c r="U249" s="18"/>
      <c r="V249" s="20"/>
    </row>
    <row r="250" ht="19.5" customHeight="1">
      <c r="A250" s="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9"/>
      <c r="U250" s="18"/>
      <c r="V250" s="20"/>
    </row>
    <row r="251" ht="19.5" customHeight="1">
      <c r="A251" s="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9"/>
      <c r="U251" s="18"/>
      <c r="V251" s="20"/>
    </row>
    <row r="252" ht="19.5" customHeight="1">
      <c r="A252" s="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9"/>
      <c r="U252" s="18"/>
      <c r="V252" s="20"/>
    </row>
    <row r="253" ht="19.5" customHeight="1">
      <c r="A253" s="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9"/>
      <c r="U253" s="18"/>
      <c r="V253" s="20"/>
    </row>
    <row r="254" ht="19.5" customHeight="1">
      <c r="A254" s="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9"/>
      <c r="U254" s="18"/>
      <c r="V254" s="20"/>
    </row>
    <row r="255" ht="19.5" customHeight="1">
      <c r="A255" s="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9"/>
      <c r="U255" s="18"/>
      <c r="V255" s="20"/>
    </row>
    <row r="256" ht="19.5" customHeight="1">
      <c r="A256" s="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9"/>
      <c r="U256" s="18"/>
      <c r="V256" s="20"/>
    </row>
    <row r="257" ht="19.5" customHeight="1">
      <c r="A257" s="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9"/>
      <c r="U257" s="18"/>
      <c r="V257" s="20"/>
    </row>
    <row r="258" ht="19.5" customHeight="1">
      <c r="A258" s="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9"/>
      <c r="U258" s="18"/>
      <c r="V258" s="20"/>
    </row>
    <row r="259" ht="19.5" customHeight="1">
      <c r="A259" s="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9"/>
      <c r="U259" s="18"/>
      <c r="V259" s="20"/>
    </row>
    <row r="260" ht="19.5" customHeight="1">
      <c r="A260" s="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9"/>
      <c r="U260" s="18"/>
      <c r="V260" s="20"/>
    </row>
    <row r="261" ht="19.5" customHeight="1">
      <c r="A261" s="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9"/>
      <c r="U261" s="18"/>
      <c r="V261" s="20"/>
    </row>
    <row r="262" ht="19.5" customHeight="1">
      <c r="A262" s="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9"/>
      <c r="U262" s="18"/>
      <c r="V262" s="20"/>
    </row>
    <row r="263" ht="19.5" customHeight="1">
      <c r="A263" s="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9"/>
      <c r="U263" s="18"/>
      <c r="V263" s="20"/>
    </row>
    <row r="264" ht="19.5" customHeight="1">
      <c r="A264" s="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9"/>
      <c r="U264" s="18"/>
      <c r="V264" s="20"/>
    </row>
    <row r="265" ht="19.5" customHeight="1">
      <c r="A265" s="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9"/>
      <c r="U265" s="18"/>
      <c r="V265" s="20"/>
    </row>
    <row r="266" ht="19.5" customHeight="1">
      <c r="A266" s="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9"/>
      <c r="U266" s="18"/>
      <c r="V266" s="20"/>
    </row>
    <row r="267" ht="19.5" customHeight="1">
      <c r="A267" s="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9"/>
      <c r="U267" s="18"/>
      <c r="V267" s="20"/>
    </row>
    <row r="268" ht="19.5" customHeight="1">
      <c r="A268" s="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9"/>
      <c r="U268" s="18"/>
      <c r="V268" s="20"/>
    </row>
    <row r="269" ht="19.5" customHeight="1">
      <c r="A269" s="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9"/>
      <c r="U269" s="18"/>
      <c r="V269" s="20"/>
    </row>
    <row r="270" ht="19.5" customHeight="1">
      <c r="A270" s="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9"/>
      <c r="U270" s="18"/>
      <c r="V270" s="20"/>
    </row>
    <row r="271" ht="19.5" customHeight="1">
      <c r="A271" s="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9"/>
      <c r="U271" s="18"/>
      <c r="V271" s="20"/>
    </row>
    <row r="272" ht="19.5" customHeight="1">
      <c r="A272" s="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9"/>
      <c r="U272" s="18"/>
      <c r="V272" s="20"/>
    </row>
    <row r="273" ht="19.5" customHeight="1">
      <c r="A273" s="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9"/>
      <c r="U273" s="18"/>
      <c r="V273" s="20"/>
    </row>
    <row r="274" ht="19.5" customHeight="1">
      <c r="A274" s="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9"/>
      <c r="U274" s="18"/>
      <c r="V274" s="20"/>
    </row>
    <row r="275" ht="19.5" customHeight="1">
      <c r="A275" s="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9"/>
      <c r="U275" s="18"/>
      <c r="V275" s="20"/>
    </row>
    <row r="276" ht="19.5" customHeight="1">
      <c r="A276" s="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9"/>
      <c r="U276" s="18"/>
      <c r="V276" s="20"/>
    </row>
    <row r="277" ht="19.5" customHeight="1">
      <c r="A277" s="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9"/>
      <c r="U277" s="18"/>
      <c r="V277" s="20"/>
    </row>
    <row r="278" ht="19.5" customHeight="1">
      <c r="A278" s="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9"/>
      <c r="U278" s="18"/>
      <c r="V278" s="20"/>
    </row>
    <row r="279" ht="19.5" customHeight="1">
      <c r="A279" s="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9"/>
      <c r="U279" s="18"/>
      <c r="V279" s="20"/>
    </row>
    <row r="280" ht="19.5" customHeight="1">
      <c r="A280" s="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9"/>
      <c r="U280" s="18"/>
      <c r="V280" s="20"/>
    </row>
    <row r="281" ht="19.5" customHeight="1">
      <c r="A281" s="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9"/>
      <c r="U281" s="18"/>
      <c r="V281" s="20"/>
    </row>
    <row r="282" ht="19.5" customHeight="1">
      <c r="A282" s="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9"/>
      <c r="U282" s="18"/>
      <c r="V282" s="20"/>
    </row>
    <row r="283" ht="19.5" customHeight="1">
      <c r="A283" s="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9"/>
      <c r="U283" s="18"/>
      <c r="V283" s="20"/>
    </row>
    <row r="284" ht="19.5" customHeight="1">
      <c r="A284" s="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9"/>
      <c r="U284" s="18"/>
      <c r="V284" s="20"/>
    </row>
    <row r="285" ht="19.5" customHeight="1">
      <c r="A285" s="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9"/>
      <c r="U285" s="18"/>
      <c r="V285" s="20"/>
    </row>
    <row r="286" ht="19.5" customHeight="1">
      <c r="A286" s="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9"/>
      <c r="U286" s="18"/>
      <c r="V286" s="20"/>
    </row>
    <row r="287" ht="19.5" customHeight="1">
      <c r="A287" s="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9"/>
      <c r="U287" s="18"/>
      <c r="V287" s="20"/>
    </row>
    <row r="288" ht="19.5" customHeight="1">
      <c r="A288" s="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9"/>
      <c r="U288" s="18"/>
      <c r="V288" s="20"/>
    </row>
    <row r="289" ht="19.5" customHeight="1">
      <c r="A289" s="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9"/>
      <c r="U289" s="18"/>
      <c r="V289" s="20"/>
    </row>
    <row r="290" ht="19.5" customHeight="1">
      <c r="A290" s="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9"/>
      <c r="U290" s="18"/>
      <c r="V290" s="20"/>
    </row>
    <row r="291" ht="19.5" customHeight="1">
      <c r="A291" s="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9"/>
      <c r="U291" s="18"/>
      <c r="V291" s="20"/>
    </row>
    <row r="292" ht="19.5" customHeight="1">
      <c r="A292" s="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9"/>
      <c r="U292" s="18"/>
      <c r="V292" s="20"/>
    </row>
    <row r="293" ht="19.5" customHeight="1">
      <c r="A293" s="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9"/>
      <c r="U293" s="18"/>
      <c r="V293" s="20"/>
    </row>
    <row r="294" ht="19.5" customHeight="1">
      <c r="A294" s="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9"/>
      <c r="U294" s="18"/>
      <c r="V294" s="20"/>
    </row>
    <row r="295" ht="19.5" customHeight="1">
      <c r="A295" s="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9"/>
      <c r="U295" s="18"/>
      <c r="V295" s="20"/>
    </row>
    <row r="296" ht="19.5" customHeight="1">
      <c r="A296" s="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9"/>
      <c r="U296" s="18"/>
      <c r="V296" s="20"/>
    </row>
    <row r="297" ht="19.5" customHeight="1">
      <c r="A297" s="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9"/>
      <c r="U297" s="18"/>
      <c r="V297" s="20"/>
    </row>
    <row r="298" ht="19.5" customHeight="1">
      <c r="A298" s="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9"/>
      <c r="U298" s="18"/>
      <c r="V298" s="20"/>
    </row>
    <row r="299" ht="19.5" customHeight="1">
      <c r="A299" s="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9"/>
      <c r="U299" s="18"/>
      <c r="V299" s="20"/>
    </row>
    <row r="300" ht="19.5" customHeight="1">
      <c r="A300" s="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9"/>
      <c r="U300" s="18"/>
      <c r="V300" s="20"/>
    </row>
    <row r="301" ht="19.5" customHeight="1">
      <c r="A301" s="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9"/>
      <c r="U301" s="18"/>
      <c r="V301" s="20"/>
    </row>
    <row r="302" ht="19.5" customHeight="1">
      <c r="A302" s="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9"/>
      <c r="U302" s="18"/>
      <c r="V302" s="20"/>
    </row>
    <row r="303" ht="19.5" customHeight="1">
      <c r="A303" s="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9"/>
      <c r="U303" s="18"/>
      <c r="V303" s="20"/>
    </row>
    <row r="304" ht="19.5" customHeight="1">
      <c r="A304" s="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9"/>
      <c r="U304" s="18"/>
      <c r="V304" s="20"/>
    </row>
    <row r="305" ht="19.5" customHeight="1">
      <c r="A305" s="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9"/>
      <c r="U305" s="18"/>
      <c r="V305" s="20"/>
    </row>
    <row r="306" ht="19.5" customHeight="1">
      <c r="A306" s="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9"/>
      <c r="U306" s="18"/>
      <c r="V306" s="20"/>
    </row>
    <row r="307" ht="19.5" customHeight="1">
      <c r="A307" s="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9"/>
      <c r="U307" s="18"/>
      <c r="V307" s="20"/>
    </row>
    <row r="308" ht="19.5" customHeight="1">
      <c r="A308" s="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9"/>
      <c r="U308" s="18"/>
      <c r="V308" s="20"/>
    </row>
    <row r="309" ht="19.5" customHeight="1">
      <c r="A309" s="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9"/>
      <c r="U309" s="18"/>
      <c r="V309" s="20"/>
    </row>
    <row r="310" ht="19.5" customHeight="1">
      <c r="A310" s="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9"/>
      <c r="U310" s="18"/>
      <c r="V310" s="20"/>
    </row>
    <row r="311" ht="19.5" customHeight="1">
      <c r="A311" s="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9"/>
      <c r="U311" s="18"/>
      <c r="V311" s="20"/>
    </row>
    <row r="312" ht="19.5" customHeight="1">
      <c r="A312" s="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9"/>
      <c r="U312" s="18"/>
      <c r="V312" s="20"/>
    </row>
    <row r="313" ht="19.5" customHeight="1">
      <c r="A313" s="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9"/>
      <c r="U313" s="18"/>
      <c r="V313" s="20"/>
    </row>
    <row r="314" ht="19.5" customHeight="1">
      <c r="A314" s="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9"/>
      <c r="U314" s="18"/>
      <c r="V314" s="20"/>
    </row>
    <row r="315" ht="19.5" customHeight="1">
      <c r="A315" s="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9"/>
      <c r="U315" s="18"/>
      <c r="V315" s="20"/>
    </row>
    <row r="316" ht="19.5" customHeight="1">
      <c r="A316" s="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9"/>
      <c r="U316" s="18"/>
      <c r="V316" s="20"/>
    </row>
    <row r="317" ht="19.5" customHeight="1">
      <c r="A317" s="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9"/>
      <c r="U317" s="18"/>
      <c r="V317" s="20"/>
    </row>
    <row r="318" ht="19.5" customHeight="1">
      <c r="A318" s="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9"/>
      <c r="U318" s="18"/>
      <c r="V318" s="20"/>
    </row>
    <row r="319" ht="19.5" customHeight="1">
      <c r="A319" s="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9"/>
      <c r="U319" s="18"/>
      <c r="V319" s="20"/>
    </row>
    <row r="320" ht="19.5" customHeight="1">
      <c r="A320" s="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9"/>
      <c r="U320" s="18"/>
      <c r="V320" s="20"/>
    </row>
    <row r="321" ht="19.5" customHeight="1">
      <c r="A321" s="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9"/>
      <c r="U321" s="18"/>
      <c r="V321" s="20"/>
    </row>
    <row r="322" ht="19.5" customHeight="1">
      <c r="A322" s="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9"/>
      <c r="U322" s="18"/>
      <c r="V322" s="20"/>
    </row>
    <row r="323" ht="19.5" customHeight="1">
      <c r="A323" s="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9"/>
      <c r="U323" s="18"/>
      <c r="V323" s="20"/>
    </row>
    <row r="324" ht="19.5" customHeight="1">
      <c r="A324" s="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9"/>
      <c r="U324" s="18"/>
      <c r="V324" s="20"/>
    </row>
    <row r="325" ht="19.5" customHeight="1">
      <c r="A325" s="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9"/>
      <c r="U325" s="18"/>
      <c r="V325" s="20"/>
    </row>
    <row r="326" ht="19.5" customHeight="1">
      <c r="A326" s="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9"/>
      <c r="U326" s="18"/>
      <c r="V326" s="20"/>
    </row>
    <row r="327" ht="19.5" customHeight="1">
      <c r="A327" s="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9"/>
      <c r="U327" s="18"/>
      <c r="V327" s="20"/>
    </row>
    <row r="328" ht="19.5" customHeight="1">
      <c r="A328" s="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9"/>
      <c r="U328" s="18"/>
      <c r="V328" s="20"/>
    </row>
    <row r="329" ht="19.5" customHeight="1">
      <c r="A329" s="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9"/>
      <c r="U329" s="18"/>
      <c r="V329" s="20"/>
    </row>
    <row r="330" ht="19.5" customHeight="1">
      <c r="A330" s="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9"/>
      <c r="U330" s="18"/>
      <c r="V330" s="20"/>
    </row>
    <row r="331" ht="19.5" customHeight="1">
      <c r="A331" s="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9"/>
      <c r="U331" s="18"/>
      <c r="V331" s="20"/>
    </row>
    <row r="332" ht="19.5" customHeight="1">
      <c r="A332" s="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9"/>
      <c r="U332" s="18"/>
      <c r="V332" s="20"/>
    </row>
    <row r="333" ht="19.5" customHeight="1">
      <c r="A333" s="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9"/>
      <c r="U333" s="18"/>
      <c r="V333" s="20"/>
    </row>
    <row r="334" ht="19.5" customHeight="1">
      <c r="A334" s="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9"/>
      <c r="U334" s="18"/>
      <c r="V334" s="20"/>
    </row>
    <row r="335" ht="19.5" customHeight="1">
      <c r="A335" s="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9"/>
      <c r="U335" s="18"/>
      <c r="V335" s="20"/>
    </row>
    <row r="336" ht="19.5" customHeight="1">
      <c r="A336" s="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9"/>
      <c r="U336" s="18"/>
      <c r="V336" s="20"/>
    </row>
    <row r="337" ht="19.5" customHeight="1">
      <c r="A337" s="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9"/>
      <c r="U337" s="18"/>
      <c r="V337" s="20"/>
    </row>
    <row r="338" ht="19.5" customHeight="1">
      <c r="A338" s="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9"/>
      <c r="U338" s="18"/>
      <c r="V338" s="20"/>
    </row>
    <row r="339" ht="19.5" customHeight="1">
      <c r="A339" s="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9"/>
      <c r="U339" s="18"/>
      <c r="V339" s="20"/>
    </row>
    <row r="340" ht="19.5" customHeight="1">
      <c r="A340" s="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9"/>
      <c r="U340" s="18"/>
      <c r="V340" s="20"/>
    </row>
    <row r="341" ht="19.5" customHeight="1">
      <c r="A341" s="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9"/>
      <c r="U341" s="18"/>
      <c r="V341" s="20"/>
    </row>
    <row r="342" ht="19.5" customHeight="1">
      <c r="A342" s="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9"/>
      <c r="U342" s="18"/>
      <c r="V342" s="20"/>
    </row>
    <row r="343" ht="19.5" customHeight="1">
      <c r="A343" s="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9"/>
      <c r="U343" s="18"/>
      <c r="V343" s="20"/>
    </row>
    <row r="344" ht="19.5" customHeight="1">
      <c r="A344" s="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9"/>
      <c r="U344" s="18"/>
      <c r="V344" s="20"/>
    </row>
    <row r="345" ht="19.5" customHeight="1">
      <c r="A345" s="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9"/>
      <c r="U345" s="18"/>
      <c r="V345" s="20"/>
    </row>
    <row r="346" ht="19.5" customHeight="1">
      <c r="A346" s="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9"/>
      <c r="U346" s="18"/>
      <c r="V346" s="20"/>
    </row>
    <row r="347" ht="19.5" customHeight="1">
      <c r="A347" s="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9"/>
      <c r="U347" s="18"/>
      <c r="V347" s="20"/>
    </row>
    <row r="348" ht="19.5" customHeight="1">
      <c r="A348" s="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9"/>
      <c r="U348" s="18"/>
      <c r="V348" s="20"/>
    </row>
    <row r="349" ht="19.5" customHeight="1">
      <c r="A349" s="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9"/>
      <c r="U349" s="18"/>
      <c r="V349" s="20"/>
    </row>
    <row r="350" ht="19.5" customHeight="1">
      <c r="A350" s="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9"/>
      <c r="U350" s="18"/>
      <c r="V350" s="20"/>
    </row>
    <row r="351" ht="19.5" customHeight="1">
      <c r="A351" s="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9"/>
      <c r="U351" s="18"/>
      <c r="V351" s="20"/>
    </row>
    <row r="352" ht="19.5" customHeight="1">
      <c r="A352" s="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9"/>
      <c r="U352" s="18"/>
      <c r="V352" s="20"/>
    </row>
    <row r="353" ht="19.5" customHeight="1">
      <c r="A353" s="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9"/>
      <c r="U353" s="18"/>
      <c r="V353" s="20"/>
    </row>
    <row r="354" ht="19.5" customHeight="1">
      <c r="A354" s="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9"/>
      <c r="U354" s="18"/>
      <c r="V354" s="20"/>
    </row>
    <row r="355" ht="19.5" customHeight="1">
      <c r="A355" s="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9"/>
      <c r="U355" s="18"/>
      <c r="V355" s="20"/>
    </row>
    <row r="356" ht="19.5" customHeight="1">
      <c r="A356" s="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9"/>
      <c r="U356" s="18"/>
      <c r="V356" s="20"/>
    </row>
    <row r="357" ht="19.5" customHeight="1">
      <c r="A357" s="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9"/>
      <c r="U357" s="18"/>
      <c r="V357" s="20"/>
    </row>
    <row r="358" ht="19.5" customHeight="1">
      <c r="A358" s="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9"/>
      <c r="U358" s="18"/>
      <c r="V358" s="20"/>
    </row>
    <row r="359" ht="19.5" customHeight="1">
      <c r="A359" s="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9"/>
      <c r="U359" s="18"/>
      <c r="V359" s="20"/>
    </row>
    <row r="360" ht="19.5" customHeight="1">
      <c r="A360" s="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9"/>
      <c r="U360" s="18"/>
      <c r="V360" s="20"/>
    </row>
    <row r="361" ht="19.5" customHeight="1">
      <c r="A361" s="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9"/>
      <c r="U361" s="18"/>
      <c r="V361" s="20"/>
    </row>
    <row r="362" ht="19.5" customHeight="1">
      <c r="A362" s="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9"/>
      <c r="U362" s="18"/>
      <c r="V362" s="20"/>
    </row>
    <row r="363" ht="19.5" customHeight="1">
      <c r="A363" s="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9"/>
      <c r="U363" s="18"/>
      <c r="V363" s="20"/>
    </row>
    <row r="364" ht="19.5" customHeight="1">
      <c r="A364" s="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9"/>
      <c r="U364" s="18"/>
      <c r="V364" s="20"/>
    </row>
    <row r="365" ht="19.5" customHeight="1">
      <c r="A365" s="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9"/>
      <c r="U365" s="18"/>
      <c r="V365" s="20"/>
    </row>
    <row r="366" ht="19.5" customHeight="1">
      <c r="A366" s="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9"/>
      <c r="U366" s="18"/>
      <c r="V366" s="20"/>
    </row>
    <row r="367" ht="19.5" customHeight="1">
      <c r="A367" s="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9"/>
      <c r="U367" s="18"/>
      <c r="V367" s="20"/>
    </row>
    <row r="368" ht="19.5" customHeight="1">
      <c r="A368" s="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9"/>
      <c r="U368" s="18"/>
      <c r="V368" s="20"/>
    </row>
    <row r="369" ht="19.5" customHeight="1">
      <c r="A369" s="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9"/>
      <c r="U369" s="18"/>
      <c r="V369" s="20"/>
    </row>
    <row r="370" ht="19.5" customHeight="1">
      <c r="A370" s="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9"/>
      <c r="U370" s="18"/>
      <c r="V370" s="20"/>
    </row>
    <row r="371" ht="19.5" customHeight="1">
      <c r="A371" s="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9"/>
      <c r="U371" s="18"/>
      <c r="V371" s="20"/>
    </row>
    <row r="372" ht="19.5" customHeight="1">
      <c r="A372" s="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9"/>
      <c r="U372" s="18"/>
      <c r="V372" s="20"/>
    </row>
    <row r="373" ht="19.5" customHeight="1">
      <c r="A373" s="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9"/>
      <c r="U373" s="18"/>
      <c r="V373" s="20"/>
    </row>
    <row r="374" ht="19.5" customHeight="1">
      <c r="A374" s="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9"/>
      <c r="U374" s="18"/>
      <c r="V374" s="20"/>
    </row>
    <row r="375" ht="19.5" customHeight="1">
      <c r="A375" s="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9"/>
      <c r="U375" s="18"/>
      <c r="V375" s="20"/>
    </row>
    <row r="376" ht="19.5" customHeight="1">
      <c r="A376" s="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9"/>
      <c r="U376" s="18"/>
      <c r="V376" s="20"/>
    </row>
    <row r="377" ht="19.5" customHeight="1">
      <c r="A377" s="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9"/>
      <c r="U377" s="18"/>
      <c r="V377" s="20"/>
    </row>
    <row r="378" ht="19.5" customHeight="1">
      <c r="A378" s="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9"/>
      <c r="U378" s="18"/>
      <c r="V378" s="20"/>
    </row>
    <row r="379" ht="19.5" customHeight="1">
      <c r="A379" s="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9"/>
      <c r="U379" s="18"/>
      <c r="V379" s="20"/>
    </row>
    <row r="380" ht="19.5" customHeight="1">
      <c r="A380" s="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9"/>
      <c r="U380" s="18"/>
      <c r="V380" s="20"/>
    </row>
    <row r="381" ht="19.5" customHeight="1">
      <c r="A381" s="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9"/>
      <c r="U381" s="18"/>
      <c r="V381" s="20"/>
    </row>
    <row r="382" ht="19.5" customHeight="1">
      <c r="A382" s="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9"/>
      <c r="U382" s="18"/>
      <c r="V382" s="20"/>
    </row>
    <row r="383" ht="19.5" customHeight="1">
      <c r="A383" s="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9"/>
      <c r="U383" s="18"/>
      <c r="V383" s="20"/>
    </row>
    <row r="384" ht="19.5" customHeight="1">
      <c r="A384" s="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9"/>
      <c r="U384" s="18"/>
      <c r="V384" s="20"/>
    </row>
    <row r="385" ht="19.5" customHeight="1">
      <c r="A385" s="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9"/>
      <c r="U385" s="18"/>
      <c r="V385" s="20"/>
    </row>
    <row r="386" ht="19.5" customHeight="1">
      <c r="A386" s="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9"/>
      <c r="U386" s="18"/>
      <c r="V386" s="20"/>
    </row>
    <row r="387" ht="19.5" customHeight="1">
      <c r="A387" s="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9"/>
      <c r="U387" s="18"/>
      <c r="V387" s="20"/>
    </row>
    <row r="388" ht="19.5" customHeight="1">
      <c r="A388" s="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9"/>
      <c r="U388" s="18"/>
      <c r="V388" s="20"/>
    </row>
    <row r="389" ht="19.5" customHeight="1">
      <c r="A389" s="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9"/>
      <c r="U389" s="18"/>
      <c r="V389" s="20"/>
    </row>
    <row r="390" ht="19.5" customHeight="1">
      <c r="A390" s="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9"/>
      <c r="U390" s="18"/>
      <c r="V390" s="20"/>
    </row>
    <row r="391" ht="19.5" customHeight="1">
      <c r="A391" s="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9"/>
      <c r="U391" s="18"/>
      <c r="V391" s="20"/>
    </row>
    <row r="392" ht="19.5" customHeight="1">
      <c r="A392" s="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9"/>
      <c r="U392" s="18"/>
      <c r="V392" s="20"/>
    </row>
    <row r="393" ht="19.5" customHeight="1">
      <c r="A393" s="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9"/>
      <c r="U393" s="18"/>
      <c r="V393" s="20"/>
    </row>
    <row r="394" ht="19.5" customHeight="1">
      <c r="A394" s="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9"/>
      <c r="U394" s="18"/>
      <c r="V394" s="20"/>
    </row>
    <row r="395" ht="19.5" customHeight="1">
      <c r="A395" s="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9"/>
      <c r="U395" s="18"/>
      <c r="V395" s="20"/>
    </row>
    <row r="396" ht="19.5" customHeight="1">
      <c r="A396" s="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9"/>
      <c r="U396" s="18"/>
      <c r="V396" s="20"/>
    </row>
    <row r="397" ht="19.5" customHeight="1">
      <c r="A397" s="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9"/>
      <c r="U397" s="18"/>
      <c r="V397" s="20"/>
    </row>
    <row r="398" ht="19.5" customHeight="1">
      <c r="A398" s="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9"/>
      <c r="U398" s="18"/>
      <c r="V398" s="20"/>
    </row>
    <row r="399" ht="19.5" customHeight="1">
      <c r="A399" s="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9"/>
      <c r="U399" s="18"/>
      <c r="V399" s="20"/>
    </row>
    <row r="400" ht="19.5" customHeight="1">
      <c r="A400" s="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9"/>
      <c r="U400" s="18"/>
      <c r="V400" s="20"/>
    </row>
    <row r="401" ht="19.5" customHeight="1">
      <c r="A401" s="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9"/>
      <c r="U401" s="18"/>
      <c r="V401" s="20"/>
    </row>
    <row r="402" ht="19.5" customHeight="1">
      <c r="A402" s="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9"/>
      <c r="U402" s="18"/>
      <c r="V402" s="20"/>
    </row>
    <row r="403" ht="19.5" customHeight="1">
      <c r="A403" s="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9"/>
      <c r="U403" s="18"/>
      <c r="V403" s="20"/>
    </row>
    <row r="404" ht="19.5" customHeight="1">
      <c r="A404" s="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9"/>
      <c r="U404" s="18"/>
      <c r="V404" s="20"/>
    </row>
    <row r="405" ht="19.5" customHeight="1">
      <c r="A405" s="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9"/>
      <c r="U405" s="18"/>
      <c r="V405" s="20"/>
    </row>
    <row r="406" ht="19.5" customHeight="1">
      <c r="A406" s="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9"/>
      <c r="U406" s="18"/>
      <c r="V406" s="20"/>
    </row>
    <row r="407" ht="19.5" customHeight="1">
      <c r="A407" s="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9"/>
      <c r="U407" s="18"/>
      <c r="V407" s="20"/>
    </row>
    <row r="408" ht="19.5" customHeight="1">
      <c r="A408" s="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9"/>
      <c r="U408" s="18"/>
      <c r="V408" s="20"/>
    </row>
    <row r="409" ht="19.5" customHeight="1">
      <c r="A409" s="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9"/>
      <c r="U409" s="18"/>
      <c r="V409" s="20"/>
    </row>
    <row r="410" ht="19.5" customHeight="1">
      <c r="A410" s="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9"/>
      <c r="U410" s="18"/>
      <c r="V410" s="20"/>
    </row>
    <row r="411" ht="19.5" customHeight="1">
      <c r="A411" s="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9"/>
      <c r="U411" s="18"/>
      <c r="V411" s="20"/>
    </row>
    <row r="412" ht="19.5" customHeight="1">
      <c r="A412" s="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9"/>
      <c r="U412" s="18"/>
      <c r="V412" s="20"/>
    </row>
    <row r="413" ht="19.5" customHeight="1">
      <c r="A413" s="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9"/>
      <c r="U413" s="18"/>
      <c r="V413" s="20"/>
    </row>
    <row r="414" ht="19.5" customHeight="1">
      <c r="A414" s="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9"/>
      <c r="U414" s="18"/>
      <c r="V414" s="20"/>
    </row>
    <row r="415" ht="19.5" customHeight="1">
      <c r="A415" s="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9"/>
      <c r="U415" s="18"/>
      <c r="V415" s="20"/>
    </row>
    <row r="416" ht="19.5" customHeight="1">
      <c r="A416" s="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9"/>
      <c r="U416" s="18"/>
      <c r="V416" s="20"/>
    </row>
    <row r="417" ht="19.5" customHeight="1">
      <c r="A417" s="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9"/>
      <c r="U417" s="18"/>
      <c r="V417" s="20"/>
    </row>
    <row r="418" ht="19.5" customHeight="1">
      <c r="A418" s="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9"/>
      <c r="U418" s="18"/>
      <c r="V418" s="20"/>
    </row>
    <row r="419" ht="19.5" customHeight="1">
      <c r="A419" s="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9"/>
      <c r="U419" s="18"/>
      <c r="V419" s="20"/>
    </row>
    <row r="420" ht="19.5" customHeight="1">
      <c r="A420" s="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9"/>
      <c r="U420" s="18"/>
      <c r="V420" s="20"/>
    </row>
    <row r="421" ht="19.5" customHeight="1">
      <c r="A421" s="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9"/>
      <c r="U421" s="18"/>
      <c r="V421" s="20"/>
    </row>
    <row r="422" ht="19.5" customHeight="1">
      <c r="A422" s="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9"/>
      <c r="U422" s="18"/>
      <c r="V422" s="20"/>
    </row>
    <row r="423" ht="19.5" customHeight="1">
      <c r="A423" s="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9"/>
      <c r="U423" s="18"/>
      <c r="V423" s="20"/>
    </row>
    <row r="424" ht="19.5" customHeight="1">
      <c r="A424" s="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9"/>
      <c r="U424" s="18"/>
      <c r="V424" s="20"/>
    </row>
    <row r="425" ht="19.5" customHeight="1">
      <c r="A425" s="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9"/>
      <c r="U425" s="18"/>
      <c r="V425" s="20"/>
    </row>
    <row r="426" ht="19.5" customHeight="1">
      <c r="A426" s="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9"/>
      <c r="U426" s="18"/>
      <c r="V426" s="20"/>
    </row>
    <row r="427" ht="19.5" customHeight="1">
      <c r="A427" s="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9"/>
      <c r="U427" s="18"/>
      <c r="V427" s="20"/>
    </row>
    <row r="428" ht="19.5" customHeight="1">
      <c r="A428" s="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9"/>
      <c r="U428" s="18"/>
      <c r="V428" s="20"/>
    </row>
    <row r="429" ht="19.5" customHeight="1">
      <c r="A429" s="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9"/>
      <c r="U429" s="18"/>
      <c r="V429" s="20"/>
    </row>
    <row r="430" ht="19.5" customHeight="1">
      <c r="A430" s="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9"/>
      <c r="U430" s="18"/>
      <c r="V430" s="20"/>
    </row>
    <row r="431" ht="19.5" customHeight="1">
      <c r="A431" s="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9"/>
      <c r="U431" s="18"/>
      <c r="V431" s="20"/>
    </row>
    <row r="432" ht="19.5" customHeight="1">
      <c r="A432" s="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9"/>
      <c r="U432" s="18"/>
      <c r="V432" s="20"/>
    </row>
    <row r="433" ht="19.5" customHeight="1">
      <c r="A433" s="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9"/>
      <c r="U433" s="18"/>
      <c r="V433" s="20"/>
    </row>
    <row r="434" ht="19.5" customHeight="1">
      <c r="A434" s="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9"/>
      <c r="U434" s="18"/>
      <c r="V434" s="20"/>
    </row>
    <row r="435" ht="19.5" customHeight="1">
      <c r="A435" s="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9"/>
      <c r="U435" s="18"/>
      <c r="V435" s="20"/>
    </row>
    <row r="436" ht="19.5" customHeight="1">
      <c r="A436" s="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9"/>
      <c r="U436" s="18"/>
      <c r="V436" s="20"/>
    </row>
    <row r="437" ht="19.5" customHeight="1">
      <c r="A437" s="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9"/>
      <c r="U437" s="18"/>
      <c r="V437" s="20"/>
    </row>
    <row r="438" ht="19.5" customHeight="1">
      <c r="A438" s="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9"/>
      <c r="U438" s="18"/>
      <c r="V438" s="20"/>
    </row>
    <row r="439" ht="19.5" customHeight="1">
      <c r="A439" s="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9"/>
      <c r="U439" s="18"/>
      <c r="V439" s="20"/>
    </row>
    <row r="440" ht="19.5" customHeight="1">
      <c r="A440" s="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9"/>
      <c r="U440" s="18"/>
      <c r="V440" s="20"/>
    </row>
    <row r="441" ht="19.5" customHeight="1">
      <c r="A441" s="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9"/>
      <c r="U441" s="18"/>
      <c r="V441" s="20"/>
    </row>
    <row r="442" ht="19.5" customHeight="1">
      <c r="A442" s="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9"/>
      <c r="U442" s="18"/>
      <c r="V442" s="20"/>
    </row>
    <row r="443" ht="19.5" customHeight="1">
      <c r="A443" s="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9"/>
      <c r="U443" s="18"/>
      <c r="V443" s="20"/>
    </row>
    <row r="444" ht="19.5" customHeight="1">
      <c r="A444" s="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9"/>
      <c r="U444" s="18"/>
      <c r="V444" s="20"/>
    </row>
    <row r="445" ht="19.5" customHeight="1">
      <c r="A445" s="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9"/>
      <c r="U445" s="18"/>
      <c r="V445" s="20"/>
    </row>
    <row r="446" ht="19.5" customHeight="1">
      <c r="A446" s="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9"/>
      <c r="U446" s="18"/>
      <c r="V446" s="20"/>
    </row>
    <row r="447" ht="19.5" customHeight="1">
      <c r="A447" s="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9"/>
      <c r="U447" s="18"/>
      <c r="V447" s="20"/>
    </row>
    <row r="448" ht="19.5" customHeight="1">
      <c r="A448" s="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9"/>
      <c r="U448" s="18"/>
      <c r="V448" s="20"/>
    </row>
    <row r="449" ht="19.5" customHeight="1">
      <c r="A449" s="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9"/>
      <c r="U449" s="18"/>
      <c r="V449" s="20"/>
    </row>
    <row r="450" ht="19.5" customHeight="1">
      <c r="A450" s="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9"/>
      <c r="U450" s="18"/>
      <c r="V450" s="20"/>
    </row>
    <row r="451" ht="19.5" customHeight="1">
      <c r="A451" s="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9"/>
      <c r="U451" s="18"/>
      <c r="V451" s="20"/>
    </row>
    <row r="452" ht="19.5" customHeight="1">
      <c r="A452" s="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9"/>
      <c r="U452" s="18"/>
      <c r="V452" s="20"/>
    </row>
    <row r="453" ht="19.5" customHeight="1">
      <c r="A453" s="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9"/>
      <c r="U453" s="18"/>
      <c r="V453" s="20"/>
    </row>
    <row r="454" ht="19.5" customHeight="1">
      <c r="A454" s="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9"/>
      <c r="U454" s="18"/>
      <c r="V454" s="20"/>
    </row>
    <row r="455" ht="19.5" customHeight="1">
      <c r="A455" s="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9"/>
      <c r="U455" s="18"/>
      <c r="V455" s="20"/>
    </row>
    <row r="456" ht="19.5" customHeight="1">
      <c r="A456" s="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9"/>
      <c r="U456" s="18"/>
      <c r="V456" s="20"/>
    </row>
    <row r="457" ht="19.5" customHeight="1">
      <c r="A457" s="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9"/>
      <c r="U457" s="18"/>
      <c r="V457" s="20"/>
    </row>
    <row r="458" ht="19.5" customHeight="1">
      <c r="A458" s="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9"/>
      <c r="U458" s="18"/>
      <c r="V458" s="20"/>
    </row>
    <row r="459" ht="19.5" customHeight="1">
      <c r="A459" s="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9"/>
      <c r="U459" s="18"/>
      <c r="V459" s="20"/>
    </row>
    <row r="460" ht="19.5" customHeight="1">
      <c r="A460" s="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9"/>
      <c r="U460" s="18"/>
      <c r="V460" s="20"/>
    </row>
    <row r="461" ht="19.5" customHeight="1">
      <c r="A461" s="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9"/>
      <c r="U461" s="18"/>
      <c r="V461" s="20"/>
    </row>
    <row r="462" ht="19.5" customHeight="1">
      <c r="A462" s="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9"/>
      <c r="U462" s="18"/>
      <c r="V462" s="20"/>
    </row>
    <row r="463" ht="19.5" customHeight="1">
      <c r="A463" s="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9"/>
      <c r="U463" s="18"/>
      <c r="V463" s="20"/>
    </row>
    <row r="464" ht="19.5" customHeight="1">
      <c r="A464" s="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9"/>
      <c r="U464" s="18"/>
      <c r="V464" s="20"/>
    </row>
    <row r="465" ht="19.5" customHeight="1">
      <c r="A465" s="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9"/>
      <c r="U465" s="18"/>
      <c r="V465" s="20"/>
    </row>
    <row r="466" ht="19.5" customHeight="1">
      <c r="A466" s="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9"/>
      <c r="U466" s="18"/>
      <c r="V466" s="20"/>
    </row>
    <row r="467" ht="19.5" customHeight="1">
      <c r="A467" s="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9"/>
      <c r="U467" s="18"/>
      <c r="V467" s="20"/>
    </row>
    <row r="468" ht="19.5" customHeight="1">
      <c r="A468" s="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9"/>
      <c r="U468" s="18"/>
      <c r="V468" s="20"/>
    </row>
    <row r="469" ht="19.5" customHeight="1">
      <c r="A469" s="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9"/>
      <c r="U469" s="18"/>
      <c r="V469" s="20"/>
    </row>
    <row r="470" ht="19.5" customHeight="1">
      <c r="A470" s="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9"/>
      <c r="U470" s="18"/>
      <c r="V470" s="20"/>
    </row>
    <row r="471" ht="19.5" customHeight="1">
      <c r="A471" s="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9"/>
      <c r="U471" s="18"/>
      <c r="V471" s="20"/>
    </row>
    <row r="472" ht="19.5" customHeight="1">
      <c r="A472" s="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9"/>
      <c r="U472" s="18"/>
      <c r="V472" s="20"/>
    </row>
    <row r="473" ht="19.5" customHeight="1">
      <c r="A473" s="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9"/>
      <c r="U473" s="18"/>
      <c r="V473" s="20"/>
    </row>
    <row r="474" ht="19.5" customHeight="1">
      <c r="A474" s="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9"/>
      <c r="U474" s="18"/>
      <c r="V474" s="20"/>
    </row>
    <row r="475" ht="19.5" customHeight="1">
      <c r="A475" s="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9"/>
      <c r="U475" s="18"/>
      <c r="V475" s="20"/>
    </row>
    <row r="476" ht="19.5" customHeight="1">
      <c r="A476" s="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9"/>
      <c r="U476" s="18"/>
      <c r="V476" s="20"/>
    </row>
    <row r="477" ht="19.5" customHeight="1">
      <c r="A477" s="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9"/>
      <c r="U477" s="18"/>
      <c r="V477" s="20"/>
    </row>
    <row r="478" ht="19.5" customHeight="1">
      <c r="A478" s="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9"/>
      <c r="U478" s="18"/>
      <c r="V478" s="20"/>
    </row>
    <row r="479" ht="19.5" customHeight="1">
      <c r="A479" s="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9"/>
      <c r="U479" s="18"/>
      <c r="V479" s="20"/>
    </row>
    <row r="480" ht="19.5" customHeight="1">
      <c r="A480" s="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9"/>
      <c r="U480" s="18"/>
      <c r="V480" s="20"/>
    </row>
    <row r="481" ht="19.5" customHeight="1">
      <c r="A481" s="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9"/>
      <c r="U481" s="18"/>
      <c r="V481" s="20"/>
    </row>
    <row r="482" ht="19.5" customHeight="1">
      <c r="A482" s="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9"/>
      <c r="U482" s="18"/>
      <c r="V482" s="20"/>
    </row>
    <row r="483" ht="19.5" customHeight="1">
      <c r="A483" s="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9"/>
      <c r="U483" s="18"/>
      <c r="V483" s="20"/>
    </row>
    <row r="484" ht="19.5" customHeight="1">
      <c r="A484" s="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9"/>
      <c r="U484" s="18"/>
      <c r="V484" s="20"/>
    </row>
    <row r="485" ht="19.5" customHeight="1">
      <c r="A485" s="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9"/>
      <c r="U485" s="18"/>
      <c r="V485" s="20"/>
    </row>
    <row r="486" ht="19.5" customHeight="1">
      <c r="A486" s="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9"/>
      <c r="U486" s="18"/>
      <c r="V486" s="20"/>
    </row>
    <row r="487" ht="19.5" customHeight="1">
      <c r="A487" s="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9"/>
      <c r="U487" s="18"/>
      <c r="V487" s="20"/>
    </row>
    <row r="488" ht="19.5" customHeight="1">
      <c r="A488" s="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9"/>
      <c r="U488" s="18"/>
      <c r="V488" s="20"/>
    </row>
    <row r="489" ht="19.5" customHeight="1">
      <c r="A489" s="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9"/>
      <c r="U489" s="18"/>
      <c r="V489" s="20"/>
    </row>
    <row r="490" ht="19.5" customHeight="1">
      <c r="A490" s="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9"/>
      <c r="U490" s="18"/>
      <c r="V490" s="20"/>
    </row>
    <row r="491" ht="19.5" customHeight="1">
      <c r="A491" s="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9"/>
      <c r="U491" s="18"/>
      <c r="V491" s="20"/>
    </row>
    <row r="492" ht="19.5" customHeight="1">
      <c r="A492" s="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9"/>
      <c r="U492" s="18"/>
      <c r="V492" s="20"/>
    </row>
    <row r="493" ht="19.5" customHeight="1">
      <c r="A493" s="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9"/>
      <c r="U493" s="18"/>
      <c r="V493" s="20"/>
    </row>
    <row r="494" ht="19.5" customHeight="1">
      <c r="A494" s="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9"/>
      <c r="U494" s="18"/>
      <c r="V494" s="20"/>
    </row>
    <row r="495" ht="19.5" customHeight="1">
      <c r="A495" s="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9"/>
      <c r="U495" s="18"/>
      <c r="V495" s="20"/>
    </row>
    <row r="496" ht="19.5" customHeight="1">
      <c r="A496" s="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9"/>
      <c r="U496" s="18"/>
      <c r="V496" s="20"/>
    </row>
    <row r="497" ht="19.5" customHeight="1">
      <c r="A497" s="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9"/>
      <c r="U497" s="18"/>
      <c r="V497" s="20"/>
    </row>
    <row r="498" ht="19.5" customHeight="1">
      <c r="A498" s="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9"/>
      <c r="U498" s="18"/>
      <c r="V498" s="20"/>
    </row>
    <row r="499" ht="19.5" customHeight="1">
      <c r="A499" s="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9"/>
      <c r="U499" s="18"/>
      <c r="V499" s="20"/>
    </row>
    <row r="500" ht="19.5" customHeight="1">
      <c r="A500" s="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9"/>
      <c r="U500" s="18"/>
      <c r="V500" s="20"/>
    </row>
    <row r="501" ht="19.5" customHeight="1">
      <c r="A501" s="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9"/>
      <c r="U501" s="18"/>
      <c r="V501" s="20"/>
    </row>
    <row r="502" ht="19.5" customHeight="1">
      <c r="A502" s="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9"/>
      <c r="U502" s="18"/>
      <c r="V502" s="20"/>
    </row>
    <row r="503" ht="19.5" customHeight="1">
      <c r="A503" s="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9"/>
      <c r="U503" s="18"/>
      <c r="V503" s="20"/>
    </row>
    <row r="504" ht="19.5" customHeight="1">
      <c r="A504" s="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9"/>
      <c r="U504" s="18"/>
      <c r="V504" s="20"/>
    </row>
    <row r="505" ht="19.5" customHeight="1">
      <c r="A505" s="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9"/>
      <c r="U505" s="18"/>
      <c r="V505" s="20"/>
    </row>
    <row r="506" ht="19.5" customHeight="1">
      <c r="A506" s="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9"/>
      <c r="U506" s="18"/>
      <c r="V506" s="20"/>
    </row>
    <row r="507" ht="19.5" customHeight="1">
      <c r="A507" s="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9"/>
      <c r="U507" s="18"/>
      <c r="V507" s="20"/>
    </row>
    <row r="508" ht="19.5" customHeight="1">
      <c r="A508" s="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9"/>
      <c r="U508" s="18"/>
      <c r="V508" s="20"/>
    </row>
    <row r="509" ht="19.5" customHeight="1">
      <c r="A509" s="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9"/>
      <c r="U509" s="18"/>
      <c r="V509" s="20"/>
    </row>
    <row r="510" ht="19.5" customHeight="1">
      <c r="A510" s="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9"/>
      <c r="U510" s="18"/>
      <c r="V510" s="20"/>
    </row>
    <row r="511" ht="19.5" customHeight="1">
      <c r="A511" s="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9"/>
      <c r="U511" s="18"/>
      <c r="V511" s="20"/>
    </row>
    <row r="512" ht="19.5" customHeight="1">
      <c r="A512" s="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9"/>
      <c r="U512" s="18"/>
      <c r="V512" s="20"/>
    </row>
    <row r="513" ht="19.5" customHeight="1">
      <c r="A513" s="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9"/>
      <c r="U513" s="18"/>
      <c r="V513" s="20"/>
    </row>
    <row r="514" ht="19.5" customHeight="1">
      <c r="A514" s="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9"/>
      <c r="U514" s="18"/>
      <c r="V514" s="20"/>
    </row>
    <row r="515" ht="19.5" customHeight="1">
      <c r="A515" s="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9"/>
      <c r="U515" s="18"/>
      <c r="V515" s="20"/>
    </row>
    <row r="516" ht="19.5" customHeight="1">
      <c r="A516" s="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9"/>
      <c r="U516" s="18"/>
      <c r="V516" s="20"/>
    </row>
    <row r="517" ht="19.5" customHeight="1">
      <c r="A517" s="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9"/>
      <c r="U517" s="18"/>
      <c r="V517" s="20"/>
    </row>
    <row r="518" ht="19.5" customHeight="1">
      <c r="A518" s="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9"/>
      <c r="U518" s="18"/>
      <c r="V518" s="20"/>
    </row>
    <row r="519" ht="19.5" customHeight="1">
      <c r="A519" s="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9"/>
      <c r="U519" s="18"/>
      <c r="V519" s="20"/>
    </row>
    <row r="520" ht="19.5" customHeight="1">
      <c r="A520" s="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9"/>
      <c r="U520" s="18"/>
      <c r="V520" s="20"/>
    </row>
    <row r="521" ht="19.5" customHeight="1">
      <c r="A521" s="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9"/>
      <c r="U521" s="18"/>
      <c r="V521" s="20"/>
    </row>
    <row r="522" ht="19.5" customHeight="1">
      <c r="A522" s="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9"/>
      <c r="U522" s="18"/>
      <c r="V522" s="20"/>
    </row>
    <row r="523" ht="19.5" customHeight="1">
      <c r="A523" s="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9"/>
      <c r="U523" s="18"/>
      <c r="V523" s="20"/>
    </row>
    <row r="524" ht="19.5" customHeight="1">
      <c r="A524" s="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9"/>
      <c r="U524" s="18"/>
      <c r="V524" s="20"/>
    </row>
    <row r="525" ht="19.5" customHeight="1">
      <c r="A525" s="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9"/>
      <c r="U525" s="18"/>
      <c r="V525" s="20"/>
    </row>
    <row r="526" ht="19.5" customHeight="1">
      <c r="A526" s="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9"/>
      <c r="U526" s="18"/>
      <c r="V526" s="20"/>
    </row>
    <row r="527" ht="19.5" customHeight="1">
      <c r="A527" s="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9"/>
      <c r="U527" s="18"/>
      <c r="V527" s="20"/>
    </row>
    <row r="528" ht="19.5" customHeight="1">
      <c r="A528" s="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9"/>
      <c r="U528" s="18"/>
      <c r="V528" s="20"/>
    </row>
    <row r="529" ht="19.5" customHeight="1">
      <c r="A529" s="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9"/>
      <c r="U529" s="18"/>
      <c r="V529" s="20"/>
    </row>
    <row r="530" ht="19.5" customHeight="1">
      <c r="A530" s="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9"/>
      <c r="U530" s="18"/>
      <c r="V530" s="20"/>
    </row>
    <row r="531" ht="19.5" customHeight="1">
      <c r="A531" s="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9"/>
      <c r="U531" s="18"/>
      <c r="V531" s="20"/>
    </row>
    <row r="532" ht="19.5" customHeight="1">
      <c r="A532" s="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9"/>
      <c r="U532" s="18"/>
      <c r="V532" s="20"/>
    </row>
    <row r="533" ht="19.5" customHeight="1">
      <c r="A533" s="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9"/>
      <c r="U533" s="18"/>
      <c r="V533" s="20"/>
    </row>
    <row r="534" ht="19.5" customHeight="1">
      <c r="A534" s="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9"/>
      <c r="U534" s="18"/>
      <c r="V534" s="20"/>
    </row>
    <row r="535" ht="19.5" customHeight="1">
      <c r="A535" s="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9"/>
      <c r="U535" s="18"/>
      <c r="V535" s="20"/>
    </row>
    <row r="536" ht="19.5" customHeight="1">
      <c r="A536" s="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9"/>
      <c r="U536" s="18"/>
      <c r="V536" s="20"/>
    </row>
    <row r="537" ht="19.5" customHeight="1">
      <c r="A537" s="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9"/>
      <c r="U537" s="18"/>
      <c r="V537" s="20"/>
    </row>
    <row r="538" ht="19.5" customHeight="1">
      <c r="A538" s="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9"/>
      <c r="U538" s="18"/>
      <c r="V538" s="20"/>
    </row>
    <row r="539" ht="19.5" customHeight="1">
      <c r="A539" s="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9"/>
      <c r="U539" s="18"/>
      <c r="V539" s="20"/>
    </row>
    <row r="540" ht="19.5" customHeight="1">
      <c r="A540" s="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9"/>
      <c r="U540" s="18"/>
      <c r="V540" s="20"/>
    </row>
    <row r="541" ht="19.5" customHeight="1">
      <c r="A541" s="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9"/>
      <c r="U541" s="18"/>
      <c r="V541" s="20"/>
    </row>
    <row r="542" ht="19.5" customHeight="1">
      <c r="A542" s="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9"/>
      <c r="U542" s="18"/>
      <c r="V542" s="20"/>
    </row>
    <row r="543" ht="19.5" customHeight="1">
      <c r="A543" s="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9"/>
      <c r="U543" s="18"/>
      <c r="V543" s="20"/>
    </row>
    <row r="544" ht="19.5" customHeight="1">
      <c r="A544" s="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9"/>
      <c r="U544" s="18"/>
      <c r="V544" s="20"/>
    </row>
    <row r="545" ht="19.5" customHeight="1">
      <c r="A545" s="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9"/>
      <c r="U545" s="18"/>
      <c r="V545" s="20"/>
    </row>
    <row r="546" ht="19.5" customHeight="1">
      <c r="A546" s="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9"/>
      <c r="U546" s="18"/>
      <c r="V546" s="20"/>
    </row>
    <row r="547" ht="19.5" customHeight="1">
      <c r="A547" s="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9"/>
      <c r="U547" s="18"/>
      <c r="V547" s="20"/>
    </row>
    <row r="548" ht="19.5" customHeight="1">
      <c r="A548" s="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9"/>
      <c r="U548" s="18"/>
      <c r="V548" s="20"/>
    </row>
    <row r="549" ht="19.5" customHeight="1">
      <c r="A549" s="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9"/>
      <c r="U549" s="18"/>
      <c r="V549" s="20"/>
    </row>
    <row r="550" ht="19.5" customHeight="1">
      <c r="A550" s="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9"/>
      <c r="U550" s="18"/>
      <c r="V550" s="20"/>
    </row>
    <row r="551" ht="19.5" customHeight="1">
      <c r="A551" s="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9"/>
      <c r="U551" s="18"/>
      <c r="V551" s="20"/>
    </row>
    <row r="552" ht="19.5" customHeight="1">
      <c r="A552" s="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9"/>
      <c r="U552" s="18"/>
      <c r="V552" s="20"/>
    </row>
    <row r="553" ht="19.5" customHeight="1">
      <c r="A553" s="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9"/>
      <c r="U553" s="18"/>
      <c r="V553" s="20"/>
    </row>
    <row r="554" ht="19.5" customHeight="1">
      <c r="A554" s="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9"/>
      <c r="U554" s="18"/>
      <c r="V554" s="20"/>
    </row>
    <row r="555" ht="19.5" customHeight="1">
      <c r="A555" s="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9"/>
      <c r="U555" s="18"/>
      <c r="V555" s="20"/>
    </row>
    <row r="556" ht="19.5" customHeight="1">
      <c r="A556" s="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9"/>
      <c r="U556" s="18"/>
      <c r="V556" s="20"/>
    </row>
    <row r="557" ht="19.5" customHeight="1">
      <c r="A557" s="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9"/>
      <c r="U557" s="18"/>
      <c r="V557" s="20"/>
    </row>
    <row r="558" ht="19.5" customHeight="1">
      <c r="A558" s="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9"/>
      <c r="U558" s="18"/>
      <c r="V558" s="20"/>
    </row>
    <row r="559" ht="19.5" customHeight="1">
      <c r="A559" s="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9"/>
      <c r="U559" s="18"/>
      <c r="V559" s="20"/>
    </row>
    <row r="560" ht="19.5" customHeight="1">
      <c r="A560" s="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9"/>
      <c r="U560" s="18"/>
      <c r="V560" s="20"/>
    </row>
    <row r="561" ht="19.5" customHeight="1">
      <c r="A561" s="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9"/>
      <c r="U561" s="18"/>
      <c r="V561" s="20"/>
    </row>
    <row r="562" ht="19.5" customHeight="1">
      <c r="A562" s="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9"/>
      <c r="U562" s="18"/>
      <c r="V562" s="20"/>
    </row>
    <row r="563" ht="19.5" customHeight="1">
      <c r="A563" s="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9"/>
      <c r="U563" s="18"/>
      <c r="V563" s="20"/>
    </row>
    <row r="564" ht="19.5" customHeight="1">
      <c r="A564" s="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9"/>
      <c r="U564" s="18"/>
      <c r="V564" s="20"/>
    </row>
    <row r="565" ht="19.5" customHeight="1">
      <c r="A565" s="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9"/>
      <c r="U565" s="18"/>
      <c r="V565" s="20"/>
    </row>
    <row r="566" ht="19.5" customHeight="1">
      <c r="A566" s="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9"/>
      <c r="U566" s="18"/>
      <c r="V566" s="20"/>
    </row>
    <row r="567" ht="19.5" customHeight="1">
      <c r="A567" s="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9"/>
      <c r="U567" s="18"/>
      <c r="V567" s="20"/>
    </row>
    <row r="568" ht="19.5" customHeight="1">
      <c r="A568" s="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9"/>
      <c r="U568" s="18"/>
      <c r="V568" s="20"/>
    </row>
    <row r="569" ht="19.5" customHeight="1">
      <c r="A569" s="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9"/>
      <c r="U569" s="18"/>
      <c r="V569" s="20"/>
    </row>
    <row r="570" ht="19.5" customHeight="1">
      <c r="A570" s="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9"/>
      <c r="U570" s="18"/>
      <c r="V570" s="20"/>
    </row>
    <row r="571" ht="19.5" customHeight="1">
      <c r="A571" s="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9"/>
      <c r="U571" s="18"/>
      <c r="V571" s="20"/>
    </row>
    <row r="572" ht="19.5" customHeight="1">
      <c r="A572" s="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9"/>
      <c r="U572" s="18"/>
      <c r="V572" s="20"/>
    </row>
    <row r="573" ht="19.5" customHeight="1">
      <c r="A573" s="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9"/>
      <c r="U573" s="18"/>
      <c r="V573" s="20"/>
    </row>
    <row r="574" ht="19.5" customHeight="1">
      <c r="A574" s="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9"/>
      <c r="U574" s="18"/>
      <c r="V574" s="20"/>
    </row>
    <row r="575" ht="19.5" customHeight="1">
      <c r="A575" s="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9"/>
      <c r="U575" s="18"/>
      <c r="V575" s="20"/>
    </row>
    <row r="576" ht="19.5" customHeight="1">
      <c r="A576" s="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9"/>
      <c r="U576" s="18"/>
      <c r="V576" s="20"/>
    </row>
    <row r="577" ht="19.5" customHeight="1">
      <c r="A577" s="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9"/>
      <c r="U577" s="18"/>
      <c r="V577" s="20"/>
    </row>
    <row r="578" ht="19.5" customHeight="1">
      <c r="A578" s="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9"/>
      <c r="U578" s="18"/>
      <c r="V578" s="20"/>
    </row>
    <row r="579" ht="19.5" customHeight="1">
      <c r="A579" s="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9"/>
      <c r="U579" s="18"/>
      <c r="V579" s="20"/>
    </row>
    <row r="580" ht="19.5" customHeight="1">
      <c r="A580" s="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9"/>
      <c r="U580" s="18"/>
      <c r="V580" s="20"/>
    </row>
    <row r="581" ht="19.5" customHeight="1">
      <c r="A581" s="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9"/>
      <c r="U581" s="18"/>
      <c r="V581" s="20"/>
    </row>
    <row r="582" ht="19.5" customHeight="1">
      <c r="A582" s="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9"/>
      <c r="U582" s="18"/>
      <c r="V582" s="20"/>
    </row>
    <row r="583" ht="19.5" customHeight="1">
      <c r="A583" s="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9"/>
      <c r="U583" s="18"/>
      <c r="V583" s="20"/>
    </row>
    <row r="584" ht="19.5" customHeight="1">
      <c r="A584" s="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9"/>
      <c r="U584" s="18"/>
      <c r="V584" s="20"/>
    </row>
    <row r="585" ht="19.5" customHeight="1">
      <c r="A585" s="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9"/>
      <c r="U585" s="18"/>
      <c r="V585" s="20"/>
    </row>
    <row r="586" ht="19.5" customHeight="1">
      <c r="A586" s="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9"/>
      <c r="U586" s="18"/>
      <c r="V586" s="20"/>
    </row>
    <row r="587" ht="19.5" customHeight="1">
      <c r="A587" s="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9"/>
      <c r="U587" s="18"/>
      <c r="V587" s="20"/>
    </row>
    <row r="588" ht="19.5" customHeight="1">
      <c r="A588" s="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9"/>
      <c r="U588" s="18"/>
      <c r="V588" s="20"/>
    </row>
    <row r="589" ht="19.5" customHeight="1">
      <c r="A589" s="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9"/>
      <c r="U589" s="18"/>
      <c r="V589" s="20"/>
    </row>
    <row r="590" ht="19.5" customHeight="1">
      <c r="A590" s="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9"/>
      <c r="U590" s="18"/>
      <c r="V590" s="20"/>
    </row>
    <row r="591" ht="19.5" customHeight="1">
      <c r="A591" s="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9"/>
      <c r="U591" s="18"/>
      <c r="V591" s="20"/>
    </row>
    <row r="592" ht="19.5" customHeight="1">
      <c r="A592" s="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9"/>
      <c r="U592" s="18"/>
      <c r="V592" s="20"/>
    </row>
    <row r="593" ht="19.5" customHeight="1">
      <c r="A593" s="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9"/>
      <c r="U593" s="18"/>
      <c r="V593" s="20"/>
    </row>
    <row r="594" ht="19.5" customHeight="1">
      <c r="A594" s="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9"/>
      <c r="U594" s="18"/>
      <c r="V594" s="20"/>
    </row>
    <row r="595" ht="19.5" customHeight="1">
      <c r="A595" s="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9"/>
      <c r="U595" s="18"/>
      <c r="V595" s="20"/>
    </row>
    <row r="596" ht="19.5" customHeight="1">
      <c r="A596" s="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9"/>
      <c r="U596" s="18"/>
      <c r="V596" s="20"/>
    </row>
    <row r="597" ht="19.5" customHeight="1">
      <c r="A597" s="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9"/>
      <c r="U597" s="18"/>
      <c r="V597" s="20"/>
    </row>
    <row r="598" ht="19.5" customHeight="1">
      <c r="A598" s="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9"/>
      <c r="U598" s="18"/>
      <c r="V598" s="20"/>
    </row>
    <row r="599" ht="19.5" customHeight="1">
      <c r="A599" s="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9"/>
      <c r="U599" s="18"/>
      <c r="V599" s="20"/>
    </row>
    <row r="600" ht="19.5" customHeight="1">
      <c r="A600" s="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9"/>
      <c r="U600" s="18"/>
      <c r="V600" s="20"/>
    </row>
    <row r="601" ht="19.5" customHeight="1">
      <c r="A601" s="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9"/>
      <c r="U601" s="18"/>
      <c r="V601" s="20"/>
    </row>
    <row r="602" ht="19.5" customHeight="1">
      <c r="A602" s="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9"/>
      <c r="U602" s="18"/>
      <c r="V602" s="20"/>
    </row>
    <row r="603" ht="19.5" customHeight="1">
      <c r="A603" s="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9"/>
      <c r="U603" s="18"/>
      <c r="V603" s="20"/>
    </row>
    <row r="604" ht="19.5" customHeight="1">
      <c r="A604" s="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9"/>
      <c r="U604" s="18"/>
      <c r="V604" s="20"/>
    </row>
    <row r="605" ht="19.5" customHeight="1">
      <c r="A605" s="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9"/>
      <c r="U605" s="18"/>
      <c r="V605" s="20"/>
    </row>
    <row r="606" ht="19.5" customHeight="1">
      <c r="A606" s="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9"/>
      <c r="U606" s="18"/>
      <c r="V606" s="20"/>
    </row>
    <row r="607" ht="19.5" customHeight="1">
      <c r="A607" s="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9"/>
      <c r="U607" s="18"/>
      <c r="V607" s="20"/>
    </row>
    <row r="608" ht="19.5" customHeight="1">
      <c r="A608" s="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9"/>
      <c r="U608" s="18"/>
      <c r="V608" s="20"/>
    </row>
    <row r="609" ht="19.5" customHeight="1">
      <c r="A609" s="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9"/>
      <c r="U609" s="18"/>
      <c r="V609" s="20"/>
    </row>
    <row r="610" ht="19.5" customHeight="1">
      <c r="A610" s="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9"/>
      <c r="U610" s="18"/>
      <c r="V610" s="20"/>
    </row>
    <row r="611" ht="19.5" customHeight="1">
      <c r="A611" s="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9"/>
      <c r="U611" s="18"/>
      <c r="V611" s="20"/>
    </row>
    <row r="612" ht="19.5" customHeight="1">
      <c r="A612" s="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9"/>
      <c r="U612" s="18"/>
      <c r="V612" s="20"/>
    </row>
    <row r="613" ht="19.5" customHeight="1">
      <c r="A613" s="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9"/>
      <c r="U613" s="18"/>
      <c r="V613" s="20"/>
    </row>
    <row r="614" ht="19.5" customHeight="1">
      <c r="A614" s="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9"/>
      <c r="U614" s="18"/>
      <c r="V614" s="20"/>
    </row>
    <row r="615" ht="19.5" customHeight="1">
      <c r="A615" s="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9"/>
      <c r="U615" s="18"/>
      <c r="V615" s="20"/>
    </row>
    <row r="616" ht="19.5" customHeight="1">
      <c r="A616" s="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9"/>
      <c r="U616" s="18"/>
      <c r="V616" s="20"/>
    </row>
    <row r="617" ht="19.5" customHeight="1">
      <c r="A617" s="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9"/>
      <c r="U617" s="18"/>
      <c r="V617" s="20"/>
    </row>
    <row r="618" ht="19.5" customHeight="1">
      <c r="A618" s="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9"/>
      <c r="U618" s="18"/>
      <c r="V618" s="20"/>
    </row>
    <row r="619" ht="19.5" customHeight="1">
      <c r="A619" s="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9"/>
      <c r="U619" s="18"/>
      <c r="V619" s="20"/>
    </row>
    <row r="620" ht="19.5" customHeight="1">
      <c r="A620" s="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9"/>
      <c r="U620" s="18"/>
      <c r="V620" s="20"/>
    </row>
    <row r="621" ht="19.5" customHeight="1">
      <c r="A621" s="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9"/>
      <c r="U621" s="18"/>
      <c r="V621" s="20"/>
    </row>
    <row r="622" ht="19.5" customHeight="1">
      <c r="A622" s="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9"/>
      <c r="U622" s="18"/>
      <c r="V622" s="20"/>
    </row>
    <row r="623" ht="19.5" customHeight="1">
      <c r="A623" s="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9"/>
      <c r="U623" s="18"/>
      <c r="V623" s="20"/>
    </row>
    <row r="624" ht="19.5" customHeight="1">
      <c r="A624" s="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9"/>
      <c r="U624" s="18"/>
      <c r="V624" s="20"/>
    </row>
    <row r="625" ht="19.5" customHeight="1">
      <c r="A625" s="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9"/>
      <c r="U625" s="18"/>
      <c r="V625" s="20"/>
    </row>
    <row r="626" ht="19.5" customHeight="1">
      <c r="A626" s="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9"/>
      <c r="U626" s="18"/>
      <c r="V626" s="20"/>
    </row>
    <row r="627" ht="19.5" customHeight="1">
      <c r="A627" s="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9"/>
      <c r="U627" s="18"/>
      <c r="V627" s="20"/>
    </row>
    <row r="628" ht="19.5" customHeight="1">
      <c r="A628" s="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9"/>
      <c r="U628" s="18"/>
      <c r="V628" s="20"/>
    </row>
    <row r="629" ht="19.5" customHeight="1">
      <c r="A629" s="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9"/>
      <c r="U629" s="18"/>
      <c r="V629" s="20"/>
    </row>
    <row r="630" ht="19.5" customHeight="1">
      <c r="A630" s="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9"/>
      <c r="U630" s="18"/>
      <c r="V630" s="20"/>
    </row>
    <row r="631" ht="19.5" customHeight="1">
      <c r="A631" s="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9"/>
      <c r="U631" s="18"/>
      <c r="V631" s="20"/>
    </row>
    <row r="632" ht="19.5" customHeight="1">
      <c r="A632" s="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9"/>
      <c r="U632" s="18"/>
      <c r="V632" s="20"/>
    </row>
    <row r="633" ht="19.5" customHeight="1">
      <c r="A633" s="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9"/>
      <c r="U633" s="18"/>
      <c r="V633" s="20"/>
    </row>
    <row r="634" ht="19.5" customHeight="1">
      <c r="A634" s="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9"/>
      <c r="U634" s="18"/>
      <c r="V634" s="20"/>
    </row>
    <row r="635" ht="19.5" customHeight="1">
      <c r="A635" s="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9"/>
      <c r="U635" s="18"/>
      <c r="V635" s="20"/>
    </row>
    <row r="636" ht="19.5" customHeight="1">
      <c r="A636" s="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9"/>
      <c r="U636" s="18"/>
      <c r="V636" s="20"/>
    </row>
    <row r="637" ht="19.5" customHeight="1">
      <c r="A637" s="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9"/>
      <c r="U637" s="18"/>
      <c r="V637" s="20"/>
    </row>
    <row r="638" ht="19.5" customHeight="1">
      <c r="A638" s="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9"/>
      <c r="U638" s="18"/>
      <c r="V638" s="20"/>
    </row>
    <row r="639" ht="19.5" customHeight="1">
      <c r="A639" s="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9"/>
      <c r="U639" s="18"/>
      <c r="V639" s="20"/>
    </row>
    <row r="640" ht="19.5" customHeight="1">
      <c r="A640" s="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9"/>
      <c r="U640" s="18"/>
      <c r="V640" s="20"/>
    </row>
    <row r="641" ht="19.5" customHeight="1">
      <c r="A641" s="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9"/>
      <c r="U641" s="18"/>
      <c r="V641" s="20"/>
    </row>
    <row r="642" ht="19.5" customHeight="1">
      <c r="A642" s="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9"/>
      <c r="U642" s="18"/>
      <c r="V642" s="20"/>
    </row>
    <row r="643" ht="19.5" customHeight="1">
      <c r="A643" s="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9"/>
      <c r="U643" s="18"/>
      <c r="V643" s="20"/>
    </row>
    <row r="644" ht="19.5" customHeight="1">
      <c r="A644" s="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9"/>
      <c r="U644" s="18"/>
      <c r="V644" s="20"/>
    </row>
    <row r="645" ht="19.5" customHeight="1">
      <c r="A645" s="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9"/>
      <c r="U645" s="18"/>
      <c r="V645" s="20"/>
    </row>
    <row r="646" ht="19.5" customHeight="1">
      <c r="A646" s="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9"/>
      <c r="U646" s="18"/>
      <c r="V646" s="20"/>
    </row>
    <row r="647" ht="19.5" customHeight="1">
      <c r="A647" s="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9"/>
      <c r="U647" s="18"/>
      <c r="V647" s="20"/>
    </row>
    <row r="648" ht="19.5" customHeight="1">
      <c r="A648" s="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9"/>
      <c r="U648" s="18"/>
      <c r="V648" s="20"/>
    </row>
    <row r="649" ht="19.5" customHeight="1">
      <c r="A649" s="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9"/>
      <c r="U649" s="18"/>
      <c r="V649" s="20"/>
    </row>
    <row r="650" ht="19.5" customHeight="1">
      <c r="A650" s="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9"/>
      <c r="U650" s="18"/>
      <c r="V650" s="20"/>
    </row>
    <row r="651" ht="19.5" customHeight="1">
      <c r="A651" s="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9"/>
      <c r="U651" s="18"/>
      <c r="V651" s="20"/>
    </row>
    <row r="652" ht="19.5" customHeight="1">
      <c r="A652" s="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9"/>
      <c r="U652" s="18"/>
      <c r="V652" s="20"/>
    </row>
    <row r="653" ht="19.5" customHeight="1">
      <c r="A653" s="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9"/>
      <c r="U653" s="18"/>
      <c r="V653" s="20"/>
    </row>
    <row r="654" ht="19.5" customHeight="1">
      <c r="A654" s="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9"/>
      <c r="U654" s="18"/>
      <c r="V654" s="20"/>
    </row>
    <row r="655" ht="19.5" customHeight="1">
      <c r="A655" s="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9"/>
      <c r="U655" s="18"/>
      <c r="V655" s="20"/>
    </row>
    <row r="656" ht="19.5" customHeight="1">
      <c r="A656" s="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9"/>
      <c r="U656" s="18"/>
      <c r="V656" s="20"/>
    </row>
    <row r="657" ht="19.5" customHeight="1">
      <c r="A657" s="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9"/>
      <c r="U657" s="18"/>
      <c r="V657" s="20"/>
    </row>
    <row r="658" ht="19.5" customHeight="1">
      <c r="A658" s="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9"/>
      <c r="U658" s="18"/>
      <c r="V658" s="20"/>
    </row>
    <row r="659" ht="19.5" customHeight="1">
      <c r="A659" s="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9"/>
      <c r="U659" s="18"/>
      <c r="V659" s="20"/>
    </row>
    <row r="660" ht="19.5" customHeight="1">
      <c r="A660" s="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9"/>
      <c r="U660" s="18"/>
      <c r="V660" s="20"/>
    </row>
    <row r="661" ht="19.5" customHeight="1">
      <c r="A661" s="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9"/>
      <c r="U661" s="18"/>
      <c r="V661" s="20"/>
    </row>
    <row r="662" ht="19.5" customHeight="1">
      <c r="A662" s="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9"/>
      <c r="U662" s="18"/>
      <c r="V662" s="20"/>
    </row>
    <row r="663" ht="19.5" customHeight="1">
      <c r="A663" s="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9"/>
      <c r="U663" s="18"/>
      <c r="V663" s="20"/>
    </row>
    <row r="664" ht="19.5" customHeight="1">
      <c r="A664" s="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9"/>
      <c r="U664" s="18"/>
      <c r="V664" s="20"/>
    </row>
    <row r="665" ht="19.5" customHeight="1">
      <c r="A665" s="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9"/>
      <c r="U665" s="18"/>
      <c r="V665" s="20"/>
    </row>
    <row r="666" ht="19.5" customHeight="1">
      <c r="A666" s="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9"/>
      <c r="U666" s="18"/>
      <c r="V666" s="20"/>
    </row>
    <row r="667" ht="19.5" customHeight="1">
      <c r="A667" s="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9"/>
      <c r="U667" s="18"/>
      <c r="V667" s="20"/>
    </row>
    <row r="668" ht="19.5" customHeight="1">
      <c r="A668" s="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9"/>
      <c r="U668" s="18"/>
      <c r="V668" s="20"/>
    </row>
    <row r="669" ht="19.5" customHeight="1">
      <c r="A669" s="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9"/>
      <c r="U669" s="18"/>
      <c r="V669" s="20"/>
    </row>
    <row r="670" ht="19.5" customHeight="1">
      <c r="A670" s="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9"/>
      <c r="U670" s="18"/>
      <c r="V670" s="20"/>
    </row>
    <row r="671" ht="19.5" customHeight="1">
      <c r="A671" s="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9"/>
      <c r="U671" s="18"/>
      <c r="V671" s="20"/>
    </row>
    <row r="672" ht="19.5" customHeight="1">
      <c r="A672" s="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9"/>
      <c r="U672" s="18"/>
      <c r="V672" s="20"/>
    </row>
    <row r="673" ht="19.5" customHeight="1">
      <c r="A673" s="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9"/>
      <c r="U673" s="18"/>
      <c r="V673" s="20"/>
    </row>
    <row r="674" ht="19.5" customHeight="1">
      <c r="A674" s="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9"/>
      <c r="U674" s="18"/>
      <c r="V674" s="20"/>
    </row>
    <row r="675" ht="19.5" customHeight="1">
      <c r="A675" s="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9"/>
      <c r="U675" s="18"/>
      <c r="V675" s="20"/>
    </row>
    <row r="676" ht="19.5" customHeight="1">
      <c r="A676" s="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9"/>
      <c r="U676" s="18"/>
      <c r="V676" s="20"/>
    </row>
    <row r="677" ht="19.5" customHeight="1">
      <c r="A677" s="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9"/>
      <c r="U677" s="18"/>
      <c r="V677" s="20"/>
    </row>
    <row r="678" ht="19.5" customHeight="1">
      <c r="A678" s="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9"/>
      <c r="U678" s="18"/>
      <c r="V678" s="20"/>
    </row>
    <row r="679" ht="19.5" customHeight="1">
      <c r="A679" s="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9"/>
      <c r="U679" s="18"/>
      <c r="V679" s="20"/>
    </row>
    <row r="680" ht="19.5" customHeight="1">
      <c r="A680" s="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9"/>
      <c r="U680" s="18"/>
      <c r="V680" s="20"/>
    </row>
    <row r="681" ht="19.5" customHeight="1">
      <c r="A681" s="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9"/>
      <c r="U681" s="18"/>
      <c r="V681" s="20"/>
    </row>
    <row r="682" ht="19.5" customHeight="1">
      <c r="A682" s="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9"/>
      <c r="U682" s="18"/>
      <c r="V682" s="20"/>
    </row>
    <row r="683" ht="19.5" customHeight="1">
      <c r="A683" s="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9"/>
      <c r="U683" s="18"/>
      <c r="V683" s="20"/>
    </row>
    <row r="684" ht="19.5" customHeight="1">
      <c r="A684" s="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9"/>
      <c r="U684" s="18"/>
      <c r="V684" s="20"/>
    </row>
    <row r="685" ht="19.5" customHeight="1">
      <c r="A685" s="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9"/>
      <c r="U685" s="18"/>
      <c r="V685" s="20"/>
    </row>
    <row r="686" ht="19.5" customHeight="1">
      <c r="A686" s="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9"/>
      <c r="U686" s="18"/>
      <c r="V686" s="20"/>
    </row>
    <row r="687" ht="19.5" customHeight="1">
      <c r="A687" s="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9"/>
      <c r="U687" s="18"/>
      <c r="V687" s="20"/>
    </row>
    <row r="688" ht="19.5" customHeight="1">
      <c r="A688" s="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9"/>
      <c r="U688" s="18"/>
      <c r="V688" s="20"/>
    </row>
    <row r="689" ht="19.5" customHeight="1">
      <c r="A689" s="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9"/>
      <c r="U689" s="18"/>
      <c r="V689" s="20"/>
    </row>
    <row r="690" ht="19.5" customHeight="1">
      <c r="A690" s="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9"/>
      <c r="U690" s="18"/>
      <c r="V690" s="20"/>
    </row>
    <row r="691" ht="19.5" customHeight="1">
      <c r="A691" s="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9"/>
      <c r="U691" s="18"/>
      <c r="V691" s="20"/>
    </row>
    <row r="692" ht="19.5" customHeight="1">
      <c r="A692" s="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9"/>
      <c r="U692" s="18"/>
      <c r="V692" s="20"/>
    </row>
    <row r="693" ht="19.5" customHeight="1">
      <c r="A693" s="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9"/>
      <c r="U693" s="18"/>
      <c r="V693" s="20"/>
    </row>
    <row r="694" ht="19.5" customHeight="1">
      <c r="A694" s="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9"/>
      <c r="U694" s="18"/>
      <c r="V694" s="20"/>
    </row>
    <row r="695" ht="19.5" customHeight="1">
      <c r="A695" s="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9"/>
      <c r="U695" s="18"/>
      <c r="V695" s="20"/>
    </row>
    <row r="696" ht="19.5" customHeight="1">
      <c r="A696" s="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9"/>
      <c r="U696" s="18"/>
      <c r="V696" s="20"/>
    </row>
    <row r="697" ht="19.5" customHeight="1">
      <c r="A697" s="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9"/>
      <c r="U697" s="18"/>
      <c r="V697" s="20"/>
    </row>
    <row r="698" ht="19.5" customHeight="1">
      <c r="A698" s="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9"/>
      <c r="U698" s="18"/>
      <c r="V698" s="20"/>
    </row>
    <row r="699" ht="19.5" customHeight="1">
      <c r="A699" s="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9"/>
      <c r="U699" s="18"/>
      <c r="V699" s="20"/>
    </row>
    <row r="700" ht="19.5" customHeight="1">
      <c r="A700" s="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9"/>
      <c r="U700" s="18"/>
      <c r="V700" s="20"/>
    </row>
    <row r="701" ht="19.5" customHeight="1">
      <c r="A701" s="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9"/>
      <c r="U701" s="18"/>
      <c r="V701" s="20"/>
    </row>
    <row r="702" ht="19.5" customHeight="1">
      <c r="A702" s="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9"/>
      <c r="U702" s="18"/>
      <c r="V702" s="20"/>
    </row>
    <row r="703" ht="19.5" customHeight="1">
      <c r="A703" s="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9"/>
      <c r="U703" s="18"/>
      <c r="V703" s="20"/>
    </row>
    <row r="704" ht="19.5" customHeight="1">
      <c r="A704" s="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9"/>
      <c r="U704" s="18"/>
      <c r="V704" s="20"/>
    </row>
    <row r="705" ht="19.5" customHeight="1">
      <c r="A705" s="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9"/>
      <c r="U705" s="18"/>
      <c r="V705" s="20"/>
    </row>
    <row r="706" ht="19.5" customHeight="1">
      <c r="A706" s="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9"/>
      <c r="U706" s="18"/>
      <c r="V706" s="20"/>
    </row>
    <row r="707" ht="19.5" customHeight="1">
      <c r="A707" s="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9"/>
      <c r="U707" s="18"/>
      <c r="V707" s="20"/>
    </row>
    <row r="708" ht="19.5" customHeight="1">
      <c r="A708" s="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9"/>
      <c r="U708" s="18"/>
      <c r="V708" s="20"/>
    </row>
    <row r="709" ht="19.5" customHeight="1">
      <c r="A709" s="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9"/>
      <c r="U709" s="18"/>
      <c r="V709" s="20"/>
    </row>
    <row r="710" ht="19.5" customHeight="1">
      <c r="A710" s="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9"/>
      <c r="U710" s="18"/>
      <c r="V710" s="20"/>
    </row>
    <row r="711" ht="19.5" customHeight="1">
      <c r="A711" s="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9"/>
      <c r="U711" s="18"/>
      <c r="V711" s="20"/>
    </row>
    <row r="712" ht="19.5" customHeight="1">
      <c r="A712" s="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9"/>
      <c r="U712" s="18"/>
      <c r="V712" s="20"/>
    </row>
    <row r="713" ht="19.5" customHeight="1">
      <c r="A713" s="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9"/>
      <c r="U713" s="18"/>
      <c r="V713" s="20"/>
    </row>
    <row r="714" ht="19.5" customHeight="1">
      <c r="A714" s="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9"/>
      <c r="U714" s="18"/>
      <c r="V714" s="20"/>
    </row>
    <row r="715" ht="19.5" customHeight="1">
      <c r="A715" s="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9"/>
      <c r="U715" s="18"/>
      <c r="V715" s="20"/>
    </row>
    <row r="716" ht="19.5" customHeight="1">
      <c r="A716" s="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9"/>
      <c r="U716" s="18"/>
      <c r="V716" s="20"/>
    </row>
    <row r="717" ht="19.5" customHeight="1">
      <c r="A717" s="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9"/>
      <c r="U717" s="18"/>
      <c r="V717" s="20"/>
    </row>
    <row r="718" ht="19.5" customHeight="1">
      <c r="A718" s="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9"/>
      <c r="U718" s="18"/>
      <c r="V718" s="20"/>
    </row>
    <row r="719" ht="19.5" customHeight="1">
      <c r="A719" s="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9"/>
      <c r="U719" s="18"/>
      <c r="V719" s="20"/>
    </row>
    <row r="720" ht="19.5" customHeight="1">
      <c r="A720" s="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9"/>
      <c r="U720" s="18"/>
      <c r="V720" s="20"/>
    </row>
    <row r="721" ht="19.5" customHeight="1">
      <c r="A721" s="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9"/>
      <c r="U721" s="18"/>
      <c r="V721" s="20"/>
    </row>
    <row r="722" ht="19.5" customHeight="1">
      <c r="A722" s="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9"/>
      <c r="U722" s="18"/>
      <c r="V722" s="20"/>
    </row>
    <row r="723" ht="19.5" customHeight="1">
      <c r="A723" s="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9"/>
      <c r="U723" s="18"/>
      <c r="V723" s="20"/>
    </row>
    <row r="724" ht="19.5" customHeight="1">
      <c r="A724" s="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9"/>
      <c r="U724" s="18"/>
      <c r="V724" s="20"/>
    </row>
    <row r="725" ht="19.5" customHeight="1">
      <c r="A725" s="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9"/>
      <c r="U725" s="18"/>
      <c r="V725" s="20"/>
    </row>
    <row r="726" ht="19.5" customHeight="1">
      <c r="A726" s="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9"/>
      <c r="U726" s="18"/>
      <c r="V726" s="20"/>
    </row>
    <row r="727" ht="19.5" customHeight="1">
      <c r="A727" s="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9"/>
      <c r="U727" s="18"/>
      <c r="V727" s="20"/>
    </row>
    <row r="728" ht="19.5" customHeight="1">
      <c r="A728" s="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9"/>
      <c r="U728" s="18"/>
      <c r="V728" s="20"/>
    </row>
    <row r="729" ht="19.5" customHeight="1">
      <c r="A729" s="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9"/>
      <c r="U729" s="18"/>
      <c r="V729" s="20"/>
    </row>
    <row r="730" ht="19.5" customHeight="1">
      <c r="A730" s="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9"/>
      <c r="U730" s="18"/>
      <c r="V730" s="20"/>
    </row>
    <row r="731" ht="19.5" customHeight="1">
      <c r="A731" s="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9"/>
      <c r="U731" s="18"/>
      <c r="V731" s="20"/>
    </row>
    <row r="732" ht="19.5" customHeight="1">
      <c r="A732" s="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9"/>
      <c r="U732" s="18"/>
      <c r="V732" s="20"/>
    </row>
    <row r="733" ht="19.5" customHeight="1">
      <c r="A733" s="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9"/>
      <c r="U733" s="18"/>
      <c r="V733" s="20"/>
    </row>
    <row r="734" ht="19.5" customHeight="1">
      <c r="A734" s="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9"/>
      <c r="U734" s="18"/>
      <c r="V734" s="20"/>
    </row>
    <row r="735" ht="19.5" customHeight="1">
      <c r="A735" s="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9"/>
      <c r="U735" s="18"/>
      <c r="V735" s="20"/>
    </row>
    <row r="736" ht="19.5" customHeight="1">
      <c r="A736" s="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9"/>
      <c r="U736" s="18"/>
      <c r="V736" s="20"/>
    </row>
    <row r="737" ht="19.5" customHeight="1">
      <c r="A737" s="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9"/>
      <c r="U737" s="18"/>
      <c r="V737" s="20"/>
    </row>
    <row r="738" ht="19.5" customHeight="1">
      <c r="A738" s="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9"/>
      <c r="U738" s="18"/>
      <c r="V738" s="20"/>
    </row>
    <row r="739" ht="19.5" customHeight="1">
      <c r="A739" s="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9"/>
      <c r="U739" s="18"/>
      <c r="V739" s="20"/>
    </row>
    <row r="740" ht="19.5" customHeight="1">
      <c r="A740" s="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9"/>
      <c r="U740" s="18"/>
      <c r="V740" s="20"/>
    </row>
    <row r="741" ht="19.5" customHeight="1">
      <c r="A741" s="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9"/>
      <c r="U741" s="18"/>
      <c r="V741" s="20"/>
    </row>
    <row r="742" ht="19.5" customHeight="1">
      <c r="A742" s="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9"/>
      <c r="U742" s="18"/>
      <c r="V742" s="20"/>
    </row>
    <row r="743" ht="19.5" customHeight="1">
      <c r="A743" s="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9"/>
      <c r="U743" s="18"/>
      <c r="V743" s="20"/>
    </row>
    <row r="744" ht="19.5" customHeight="1">
      <c r="A744" s="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9"/>
      <c r="U744" s="18"/>
      <c r="V744" s="20"/>
    </row>
    <row r="745" ht="19.5" customHeight="1">
      <c r="A745" s="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9"/>
      <c r="U745" s="18"/>
      <c r="V745" s="20"/>
    </row>
    <row r="746" ht="19.5" customHeight="1">
      <c r="A746" s="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9"/>
      <c r="U746" s="18"/>
      <c r="V746" s="20"/>
    </row>
    <row r="747" ht="19.5" customHeight="1">
      <c r="A747" s="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9"/>
      <c r="U747" s="18"/>
      <c r="V747" s="20"/>
    </row>
    <row r="748" ht="19.5" customHeight="1">
      <c r="A748" s="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9"/>
      <c r="U748" s="18"/>
      <c r="V748" s="20"/>
    </row>
    <row r="749" ht="19.5" customHeight="1">
      <c r="A749" s="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9"/>
      <c r="U749" s="18"/>
      <c r="V749" s="20"/>
    </row>
    <row r="750" ht="19.5" customHeight="1">
      <c r="A750" s="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9"/>
      <c r="U750" s="18"/>
      <c r="V750" s="20"/>
    </row>
    <row r="751" ht="19.5" customHeight="1">
      <c r="A751" s="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9"/>
      <c r="U751" s="18"/>
      <c r="V751" s="20"/>
    </row>
    <row r="752" ht="19.5" customHeight="1">
      <c r="A752" s="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9"/>
      <c r="U752" s="18"/>
      <c r="V752" s="20"/>
    </row>
    <row r="753" ht="19.5" customHeight="1">
      <c r="A753" s="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9"/>
      <c r="U753" s="18"/>
      <c r="V753" s="20"/>
    </row>
    <row r="754" ht="19.5" customHeight="1">
      <c r="A754" s="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9"/>
      <c r="U754" s="18"/>
      <c r="V754" s="20"/>
    </row>
    <row r="755" ht="19.5" customHeight="1">
      <c r="A755" s="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9"/>
      <c r="U755" s="18"/>
      <c r="V755" s="20"/>
    </row>
    <row r="756" ht="19.5" customHeight="1">
      <c r="A756" s="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9"/>
      <c r="U756" s="18"/>
      <c r="V756" s="20"/>
    </row>
    <row r="757" ht="19.5" customHeight="1">
      <c r="A757" s="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9"/>
      <c r="U757" s="18"/>
      <c r="V757" s="20"/>
    </row>
    <row r="758" ht="19.5" customHeight="1">
      <c r="A758" s="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9"/>
      <c r="U758" s="18"/>
      <c r="V758" s="20"/>
    </row>
    <row r="759" ht="19.5" customHeight="1">
      <c r="A759" s="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9"/>
      <c r="U759" s="18"/>
      <c r="V759" s="20"/>
    </row>
    <row r="760" ht="19.5" customHeight="1">
      <c r="A760" s="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9"/>
      <c r="U760" s="18"/>
      <c r="V760" s="20"/>
    </row>
    <row r="761" ht="19.5" customHeight="1">
      <c r="A761" s="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9"/>
      <c r="U761" s="18"/>
      <c r="V761" s="20"/>
    </row>
    <row r="762" ht="19.5" customHeight="1">
      <c r="A762" s="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9"/>
      <c r="U762" s="18"/>
      <c r="V762" s="20"/>
    </row>
    <row r="763" ht="19.5" customHeight="1">
      <c r="A763" s="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9"/>
      <c r="U763" s="18"/>
      <c r="V763" s="20"/>
    </row>
    <row r="764" ht="19.5" customHeight="1">
      <c r="A764" s="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9"/>
      <c r="U764" s="18"/>
      <c r="V764" s="20"/>
    </row>
    <row r="765" ht="19.5" customHeight="1">
      <c r="A765" s="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9"/>
      <c r="U765" s="18"/>
      <c r="V765" s="20"/>
    </row>
    <row r="766" ht="19.5" customHeight="1">
      <c r="A766" s="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9"/>
      <c r="U766" s="18"/>
      <c r="V766" s="20"/>
    </row>
    <row r="767" ht="19.5" customHeight="1">
      <c r="A767" s="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9"/>
      <c r="U767" s="18"/>
      <c r="V767" s="20"/>
    </row>
    <row r="768" ht="19.5" customHeight="1">
      <c r="A768" s="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9"/>
      <c r="U768" s="18"/>
      <c r="V768" s="20"/>
    </row>
    <row r="769" ht="19.5" customHeight="1">
      <c r="A769" s="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9"/>
      <c r="U769" s="18"/>
      <c r="V769" s="20"/>
    </row>
    <row r="770" ht="19.5" customHeight="1">
      <c r="A770" s="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9"/>
      <c r="U770" s="18"/>
      <c r="V770" s="20"/>
    </row>
    <row r="771" ht="19.5" customHeight="1">
      <c r="A771" s="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9"/>
      <c r="U771" s="18"/>
      <c r="V771" s="20"/>
    </row>
    <row r="772" ht="19.5" customHeight="1">
      <c r="A772" s="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9"/>
      <c r="U772" s="18"/>
      <c r="V772" s="20"/>
    </row>
    <row r="773" ht="19.5" customHeight="1">
      <c r="A773" s="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9"/>
      <c r="U773" s="18"/>
      <c r="V773" s="20"/>
    </row>
    <row r="774" ht="19.5" customHeight="1">
      <c r="A774" s="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9"/>
      <c r="U774" s="18"/>
      <c r="V774" s="20"/>
    </row>
    <row r="775" ht="19.5" customHeight="1">
      <c r="A775" s="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9"/>
      <c r="U775" s="18"/>
      <c r="V775" s="20"/>
    </row>
    <row r="776" ht="19.5" customHeight="1">
      <c r="A776" s="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9"/>
      <c r="U776" s="18"/>
      <c r="V776" s="20"/>
    </row>
    <row r="777" ht="19.5" customHeight="1">
      <c r="A777" s="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9"/>
      <c r="U777" s="18"/>
      <c r="V777" s="20"/>
    </row>
    <row r="778" ht="19.5" customHeight="1">
      <c r="A778" s="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9"/>
      <c r="U778" s="18"/>
      <c r="V778" s="20"/>
    </row>
    <row r="779" ht="19.5" customHeight="1">
      <c r="A779" s="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9"/>
      <c r="U779" s="18"/>
      <c r="V779" s="20"/>
    </row>
    <row r="780" ht="19.5" customHeight="1">
      <c r="A780" s="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9"/>
      <c r="U780" s="18"/>
      <c r="V780" s="20"/>
    </row>
    <row r="781" ht="19.5" customHeight="1">
      <c r="A781" s="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9"/>
      <c r="U781" s="18"/>
      <c r="V781" s="20"/>
    </row>
    <row r="782" ht="19.5" customHeight="1">
      <c r="A782" s="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9"/>
      <c r="U782" s="18"/>
      <c r="V782" s="20"/>
    </row>
    <row r="783" ht="19.5" customHeight="1">
      <c r="A783" s="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9"/>
      <c r="U783" s="18"/>
      <c r="V783" s="20"/>
    </row>
    <row r="784" ht="19.5" customHeight="1">
      <c r="A784" s="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9"/>
      <c r="U784" s="18"/>
      <c r="V784" s="20"/>
    </row>
    <row r="785" ht="19.5" customHeight="1">
      <c r="A785" s="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9"/>
      <c r="U785" s="18"/>
      <c r="V785" s="20"/>
    </row>
    <row r="786" ht="19.5" customHeight="1">
      <c r="A786" s="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9"/>
      <c r="U786" s="18"/>
      <c r="V786" s="20"/>
    </row>
    <row r="787" ht="19.5" customHeight="1">
      <c r="A787" s="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9"/>
      <c r="U787" s="18"/>
      <c r="V787" s="20"/>
    </row>
    <row r="788" ht="19.5" customHeight="1">
      <c r="A788" s="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9"/>
      <c r="U788" s="18"/>
      <c r="V788" s="20"/>
    </row>
    <row r="789" ht="19.5" customHeight="1">
      <c r="A789" s="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9"/>
      <c r="U789" s="18"/>
      <c r="V789" s="20"/>
    </row>
    <row r="790" ht="19.5" customHeight="1">
      <c r="A790" s="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9"/>
      <c r="U790" s="18"/>
      <c r="V790" s="20"/>
    </row>
    <row r="791" ht="19.5" customHeight="1">
      <c r="A791" s="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9"/>
      <c r="U791" s="18"/>
      <c r="V791" s="20"/>
    </row>
    <row r="792" ht="19.5" customHeight="1">
      <c r="A792" s="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9"/>
      <c r="U792" s="18"/>
      <c r="V792" s="20"/>
    </row>
    <row r="793" ht="19.5" customHeight="1">
      <c r="A793" s="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9"/>
      <c r="U793" s="18"/>
      <c r="V793" s="20"/>
    </row>
    <row r="794" ht="19.5" customHeight="1">
      <c r="A794" s="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9"/>
      <c r="U794" s="18"/>
      <c r="V794" s="20"/>
    </row>
    <row r="795" ht="19.5" customHeight="1">
      <c r="A795" s="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9"/>
      <c r="U795" s="18"/>
      <c r="V795" s="20"/>
    </row>
    <row r="796" ht="19.5" customHeight="1">
      <c r="A796" s="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9"/>
      <c r="U796" s="18"/>
      <c r="V796" s="20"/>
    </row>
    <row r="797" ht="19.5" customHeight="1">
      <c r="A797" s="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9"/>
      <c r="U797" s="18"/>
      <c r="V797" s="20"/>
    </row>
    <row r="798" ht="19.5" customHeight="1">
      <c r="A798" s="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9"/>
      <c r="U798" s="18"/>
      <c r="V798" s="20"/>
    </row>
    <row r="799" ht="19.5" customHeight="1">
      <c r="A799" s="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9"/>
      <c r="U799" s="18"/>
      <c r="V799" s="20"/>
    </row>
    <row r="800" ht="19.5" customHeight="1">
      <c r="A800" s="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9"/>
      <c r="U800" s="18"/>
      <c r="V800" s="20"/>
    </row>
    <row r="801" ht="19.5" customHeight="1">
      <c r="A801" s="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9"/>
      <c r="U801" s="18"/>
      <c r="V801" s="20"/>
    </row>
    <row r="802" ht="19.5" customHeight="1">
      <c r="A802" s="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9"/>
      <c r="U802" s="18"/>
      <c r="V802" s="20"/>
    </row>
    <row r="803" ht="19.5" customHeight="1">
      <c r="A803" s="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9"/>
      <c r="U803" s="18"/>
      <c r="V803" s="20"/>
    </row>
    <row r="804" ht="19.5" customHeight="1">
      <c r="A804" s="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9"/>
      <c r="U804" s="18"/>
      <c r="V804" s="20"/>
    </row>
    <row r="805" ht="19.5" customHeight="1">
      <c r="A805" s="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9"/>
      <c r="U805" s="18"/>
      <c r="V805" s="20"/>
    </row>
    <row r="806" ht="19.5" customHeight="1">
      <c r="A806" s="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9"/>
      <c r="U806" s="18"/>
      <c r="V806" s="20"/>
    </row>
    <row r="807" ht="19.5" customHeight="1">
      <c r="A807" s="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9"/>
      <c r="U807" s="18"/>
      <c r="V807" s="20"/>
    </row>
    <row r="808" ht="19.5" customHeight="1">
      <c r="A808" s="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9"/>
      <c r="U808" s="18"/>
      <c r="V808" s="20"/>
    </row>
    <row r="809" ht="19.5" customHeight="1">
      <c r="A809" s="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9"/>
      <c r="U809" s="18"/>
      <c r="V809" s="20"/>
    </row>
    <row r="810" ht="19.5" customHeight="1">
      <c r="A810" s="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9"/>
      <c r="U810" s="18"/>
      <c r="V810" s="20"/>
    </row>
    <row r="811" ht="19.5" customHeight="1">
      <c r="A811" s="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9"/>
      <c r="U811" s="18"/>
      <c r="V811" s="20"/>
    </row>
    <row r="812" ht="19.5" customHeight="1">
      <c r="A812" s="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9"/>
      <c r="U812" s="18"/>
      <c r="V812" s="20"/>
    </row>
    <row r="813" ht="19.5" customHeight="1">
      <c r="A813" s="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9"/>
      <c r="U813" s="18"/>
      <c r="V813" s="20"/>
    </row>
    <row r="814" ht="19.5" customHeight="1">
      <c r="A814" s="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9"/>
      <c r="U814" s="18"/>
      <c r="V814" s="20"/>
    </row>
    <row r="815" ht="19.5" customHeight="1">
      <c r="A815" s="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9"/>
      <c r="U815" s="18"/>
      <c r="V815" s="20"/>
    </row>
    <row r="816" ht="19.5" customHeight="1">
      <c r="A816" s="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9"/>
      <c r="U816" s="18"/>
      <c r="V816" s="20"/>
    </row>
    <row r="817" ht="19.5" customHeight="1">
      <c r="A817" s="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9"/>
      <c r="U817" s="18"/>
      <c r="V817" s="20"/>
    </row>
    <row r="818" ht="19.5" customHeight="1">
      <c r="A818" s="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9"/>
      <c r="U818" s="18"/>
      <c r="V818" s="20"/>
    </row>
    <row r="819" ht="19.5" customHeight="1">
      <c r="A819" s="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9"/>
      <c r="U819" s="18"/>
      <c r="V819" s="20"/>
    </row>
    <row r="820" ht="19.5" customHeight="1">
      <c r="A820" s="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9"/>
      <c r="U820" s="18"/>
      <c r="V820" s="20"/>
    </row>
    <row r="821" ht="19.5" customHeight="1">
      <c r="A821" s="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9"/>
      <c r="U821" s="18"/>
      <c r="V821" s="20"/>
    </row>
    <row r="822" ht="19.5" customHeight="1">
      <c r="A822" s="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9"/>
      <c r="U822" s="18"/>
      <c r="V822" s="20"/>
    </row>
    <row r="823" ht="19.5" customHeight="1">
      <c r="A823" s="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9"/>
      <c r="U823" s="18"/>
      <c r="V823" s="20"/>
    </row>
    <row r="824" ht="19.5" customHeight="1">
      <c r="A824" s="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9"/>
      <c r="U824" s="18"/>
      <c r="V824" s="20"/>
    </row>
    <row r="825" ht="19.5" customHeight="1">
      <c r="A825" s="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9"/>
      <c r="U825" s="18"/>
      <c r="V825" s="20"/>
    </row>
    <row r="826" ht="19.5" customHeight="1">
      <c r="A826" s="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9"/>
      <c r="U826" s="18"/>
      <c r="V826" s="20"/>
    </row>
    <row r="827" ht="19.5" customHeight="1">
      <c r="A827" s="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9"/>
      <c r="U827" s="18"/>
      <c r="V827" s="20"/>
    </row>
    <row r="828" ht="19.5" customHeight="1">
      <c r="A828" s="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9"/>
      <c r="U828" s="18"/>
      <c r="V828" s="20"/>
    </row>
    <row r="829" ht="19.5" customHeight="1">
      <c r="A829" s="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9"/>
      <c r="U829" s="18"/>
      <c r="V829" s="20"/>
    </row>
    <row r="830" ht="19.5" customHeight="1">
      <c r="A830" s="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9"/>
      <c r="U830" s="18"/>
      <c r="V830" s="20"/>
    </row>
    <row r="831" ht="19.5" customHeight="1">
      <c r="A831" s="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9"/>
      <c r="U831" s="18"/>
      <c r="V831" s="20"/>
    </row>
    <row r="832" ht="19.5" customHeight="1">
      <c r="A832" s="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9"/>
      <c r="U832" s="18"/>
      <c r="V832" s="20"/>
    </row>
    <row r="833" ht="19.5" customHeight="1">
      <c r="A833" s="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9"/>
      <c r="U833" s="18"/>
      <c r="V833" s="20"/>
    </row>
    <row r="834" ht="19.5" customHeight="1">
      <c r="A834" s="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9"/>
      <c r="U834" s="18"/>
      <c r="V834" s="20"/>
    </row>
    <row r="835" ht="19.5" customHeight="1">
      <c r="A835" s="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9"/>
      <c r="U835" s="18"/>
      <c r="V835" s="20"/>
    </row>
    <row r="836" ht="19.5" customHeight="1">
      <c r="A836" s="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9"/>
      <c r="U836" s="18"/>
      <c r="V836" s="20"/>
    </row>
    <row r="837" ht="19.5" customHeight="1">
      <c r="A837" s="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9"/>
      <c r="U837" s="18"/>
      <c r="V837" s="20"/>
    </row>
    <row r="838" ht="19.5" customHeight="1">
      <c r="A838" s="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9"/>
      <c r="U838" s="18"/>
      <c r="V838" s="20"/>
    </row>
    <row r="839" ht="19.5" customHeight="1">
      <c r="A839" s="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9"/>
      <c r="U839" s="18"/>
      <c r="V839" s="20"/>
    </row>
    <row r="840" ht="19.5" customHeight="1">
      <c r="A840" s="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9"/>
      <c r="U840" s="18"/>
      <c r="V840" s="20"/>
    </row>
    <row r="841" ht="19.5" customHeight="1">
      <c r="A841" s="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9"/>
      <c r="U841" s="18"/>
      <c r="V841" s="20"/>
    </row>
    <row r="842" ht="19.5" customHeight="1">
      <c r="A842" s="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9"/>
      <c r="U842" s="18"/>
      <c r="V842" s="20"/>
    </row>
    <row r="843" ht="19.5" customHeight="1">
      <c r="A843" s="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9"/>
      <c r="U843" s="18"/>
      <c r="V843" s="20"/>
    </row>
    <row r="844" ht="19.5" customHeight="1">
      <c r="A844" s="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9"/>
      <c r="U844" s="18"/>
      <c r="V844" s="20"/>
    </row>
    <row r="845" ht="19.5" customHeight="1">
      <c r="A845" s="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9"/>
      <c r="U845" s="18"/>
      <c r="V845" s="20"/>
    </row>
    <row r="846" ht="19.5" customHeight="1">
      <c r="A846" s="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9"/>
      <c r="U846" s="18"/>
      <c r="V846" s="20"/>
    </row>
    <row r="847" ht="19.5" customHeight="1">
      <c r="A847" s="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9"/>
      <c r="U847" s="18"/>
      <c r="V847" s="20"/>
    </row>
    <row r="848" ht="19.5" customHeight="1">
      <c r="A848" s="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9"/>
      <c r="U848" s="18"/>
      <c r="V848" s="20"/>
    </row>
    <row r="849" ht="19.5" customHeight="1">
      <c r="A849" s="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9"/>
      <c r="U849" s="18"/>
      <c r="V849" s="20"/>
    </row>
    <row r="850" ht="19.5" customHeight="1">
      <c r="A850" s="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9"/>
      <c r="U850" s="18"/>
      <c r="V850" s="20"/>
    </row>
    <row r="851" ht="19.5" customHeight="1">
      <c r="A851" s="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9"/>
      <c r="U851" s="18"/>
      <c r="V851" s="20"/>
    </row>
    <row r="852" ht="19.5" customHeight="1">
      <c r="A852" s="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9"/>
      <c r="U852" s="18"/>
      <c r="V852" s="20"/>
    </row>
    <row r="853" ht="19.5" customHeight="1">
      <c r="A853" s="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9"/>
      <c r="U853" s="18"/>
      <c r="V853" s="20"/>
    </row>
    <row r="854" ht="19.5" customHeight="1">
      <c r="A854" s="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9"/>
      <c r="U854" s="18"/>
      <c r="V854" s="20"/>
    </row>
    <row r="855" ht="19.5" customHeight="1">
      <c r="A855" s="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9"/>
      <c r="U855" s="18"/>
      <c r="V855" s="20"/>
    </row>
    <row r="856" ht="19.5" customHeight="1">
      <c r="A856" s="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9"/>
      <c r="U856" s="18"/>
      <c r="V856" s="20"/>
    </row>
    <row r="857" ht="19.5" customHeight="1">
      <c r="A857" s="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9"/>
      <c r="U857" s="18"/>
      <c r="V857" s="20"/>
    </row>
    <row r="858" ht="19.5" customHeight="1">
      <c r="A858" s="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9"/>
      <c r="U858" s="18"/>
      <c r="V858" s="20"/>
    </row>
    <row r="859" ht="19.5" customHeight="1">
      <c r="A859" s="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9"/>
      <c r="U859" s="18"/>
      <c r="V859" s="20"/>
    </row>
    <row r="860" ht="19.5" customHeight="1">
      <c r="A860" s="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9"/>
      <c r="U860" s="18"/>
      <c r="V860" s="20"/>
    </row>
    <row r="861" ht="19.5" customHeight="1">
      <c r="A861" s="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9"/>
      <c r="U861" s="18"/>
      <c r="V861" s="20"/>
    </row>
    <row r="862" ht="19.5" customHeight="1">
      <c r="A862" s="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9"/>
      <c r="U862" s="18"/>
      <c r="V862" s="20"/>
    </row>
    <row r="863" ht="19.5" customHeight="1">
      <c r="A863" s="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9"/>
      <c r="U863" s="18"/>
      <c r="V863" s="20"/>
    </row>
    <row r="864" ht="19.5" customHeight="1">
      <c r="A864" s="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9"/>
      <c r="U864" s="18"/>
      <c r="V864" s="20"/>
    </row>
    <row r="865" ht="19.5" customHeight="1">
      <c r="A865" s="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9"/>
      <c r="U865" s="18"/>
      <c r="V865" s="20"/>
    </row>
    <row r="866" ht="19.5" customHeight="1">
      <c r="A866" s="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9"/>
      <c r="U866" s="18"/>
      <c r="V866" s="20"/>
    </row>
    <row r="867" ht="19.5" customHeight="1">
      <c r="A867" s="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9"/>
      <c r="U867" s="18"/>
      <c r="V867" s="20"/>
    </row>
    <row r="868" ht="19.5" customHeight="1">
      <c r="A868" s="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9"/>
      <c r="U868" s="18"/>
      <c r="V868" s="20"/>
    </row>
    <row r="869" ht="19.5" customHeight="1">
      <c r="A869" s="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9"/>
      <c r="U869" s="18"/>
      <c r="V869" s="20"/>
    </row>
    <row r="870" ht="19.5" customHeight="1">
      <c r="A870" s="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9"/>
      <c r="U870" s="18"/>
      <c r="V870" s="20"/>
    </row>
    <row r="871" ht="19.5" customHeight="1">
      <c r="A871" s="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9"/>
      <c r="U871" s="18"/>
      <c r="V871" s="20"/>
    </row>
    <row r="872" ht="19.5" customHeight="1">
      <c r="A872" s="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9"/>
      <c r="U872" s="18"/>
      <c r="V872" s="20"/>
    </row>
    <row r="873" ht="19.5" customHeight="1">
      <c r="A873" s="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9"/>
      <c r="U873" s="18"/>
      <c r="V873" s="20"/>
    </row>
    <row r="874" ht="19.5" customHeight="1">
      <c r="A874" s="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9"/>
      <c r="U874" s="18"/>
      <c r="V874" s="20"/>
    </row>
    <row r="875" ht="19.5" customHeight="1">
      <c r="A875" s="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9"/>
      <c r="U875" s="18"/>
      <c r="V875" s="20"/>
    </row>
    <row r="876" ht="19.5" customHeight="1">
      <c r="A876" s="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9"/>
      <c r="U876" s="18"/>
      <c r="V876" s="20"/>
    </row>
    <row r="877" ht="19.5" customHeight="1">
      <c r="A877" s="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9"/>
      <c r="U877" s="18"/>
      <c r="V877" s="20"/>
    </row>
    <row r="878" ht="19.5" customHeight="1">
      <c r="A878" s="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9"/>
      <c r="U878" s="18"/>
      <c r="V878" s="20"/>
    </row>
    <row r="879" ht="19.5" customHeight="1">
      <c r="A879" s="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9"/>
      <c r="U879" s="18"/>
      <c r="V879" s="20"/>
    </row>
    <row r="880" ht="19.5" customHeight="1">
      <c r="A880" s="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9"/>
      <c r="U880" s="18"/>
      <c r="V880" s="20"/>
    </row>
    <row r="881" ht="19.5" customHeight="1">
      <c r="A881" s="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9"/>
      <c r="U881" s="18"/>
      <c r="V881" s="20"/>
    </row>
    <row r="882" ht="19.5" customHeight="1">
      <c r="A882" s="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9"/>
      <c r="U882" s="18"/>
      <c r="V882" s="20"/>
    </row>
    <row r="883" ht="19.5" customHeight="1">
      <c r="A883" s="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9"/>
      <c r="U883" s="18"/>
      <c r="V883" s="20"/>
    </row>
    <row r="884" ht="19.5" customHeight="1">
      <c r="A884" s="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9"/>
      <c r="U884" s="18"/>
      <c r="V884" s="20"/>
    </row>
    <row r="885" ht="19.5" customHeight="1">
      <c r="A885" s="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9"/>
      <c r="U885" s="18"/>
      <c r="V885" s="20"/>
    </row>
    <row r="886" ht="19.5" customHeight="1">
      <c r="A886" s="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9"/>
      <c r="U886" s="18"/>
      <c r="V886" s="20"/>
    </row>
    <row r="887" ht="19.5" customHeight="1">
      <c r="A887" s="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9"/>
      <c r="U887" s="18"/>
      <c r="V887" s="20"/>
    </row>
    <row r="888" ht="19.5" customHeight="1">
      <c r="A888" s="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9"/>
      <c r="U888" s="18"/>
      <c r="V888" s="20"/>
    </row>
    <row r="889" ht="19.5" customHeight="1">
      <c r="A889" s="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9"/>
      <c r="U889" s="18"/>
      <c r="V889" s="20"/>
    </row>
    <row r="890" ht="19.5" customHeight="1">
      <c r="A890" s="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9"/>
      <c r="U890" s="18"/>
      <c r="V890" s="20"/>
    </row>
    <row r="891" ht="19.5" customHeight="1">
      <c r="A891" s="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9"/>
      <c r="U891" s="18"/>
      <c r="V891" s="20"/>
    </row>
    <row r="892" ht="19.5" customHeight="1">
      <c r="A892" s="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9"/>
      <c r="U892" s="18"/>
      <c r="V892" s="20"/>
    </row>
    <row r="893" ht="19.5" customHeight="1">
      <c r="A893" s="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9"/>
      <c r="U893" s="18"/>
      <c r="V893" s="20"/>
    </row>
    <row r="894" ht="19.5" customHeight="1">
      <c r="A894" s="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9"/>
      <c r="U894" s="18"/>
      <c r="V894" s="20"/>
    </row>
    <row r="895" ht="19.5" customHeight="1">
      <c r="A895" s="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9"/>
      <c r="U895" s="18"/>
      <c r="V895" s="20"/>
    </row>
    <row r="896" ht="19.5" customHeight="1">
      <c r="A896" s="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9"/>
      <c r="U896" s="18"/>
      <c r="V896" s="20"/>
    </row>
    <row r="897" ht="19.5" customHeight="1">
      <c r="A897" s="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9"/>
      <c r="U897" s="18"/>
      <c r="V897" s="20"/>
    </row>
    <row r="898" ht="19.5" customHeight="1">
      <c r="A898" s="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9"/>
      <c r="U898" s="18"/>
      <c r="V898" s="20"/>
    </row>
    <row r="899" ht="19.5" customHeight="1">
      <c r="A899" s="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9"/>
      <c r="U899" s="18"/>
      <c r="V899" s="20"/>
    </row>
    <row r="900" ht="19.5" customHeight="1">
      <c r="A900" s="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9"/>
      <c r="U900" s="18"/>
      <c r="V900" s="20"/>
    </row>
    <row r="901" ht="19.5" customHeight="1">
      <c r="A901" s="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9"/>
      <c r="U901" s="18"/>
      <c r="V901" s="20"/>
    </row>
    <row r="902" ht="19.5" customHeight="1">
      <c r="A902" s="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9"/>
      <c r="U902" s="18"/>
      <c r="V902" s="20"/>
    </row>
    <row r="903" ht="19.5" customHeight="1">
      <c r="A903" s="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9"/>
      <c r="U903" s="18"/>
      <c r="V903" s="20"/>
    </row>
    <row r="904" ht="19.5" customHeight="1">
      <c r="A904" s="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9"/>
      <c r="U904" s="18"/>
      <c r="V904" s="20"/>
    </row>
    <row r="905" ht="19.5" customHeight="1">
      <c r="A905" s="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9"/>
      <c r="U905" s="18"/>
      <c r="V905" s="20"/>
    </row>
    <row r="906" ht="19.5" customHeight="1">
      <c r="A906" s="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9"/>
      <c r="U906" s="18"/>
      <c r="V906" s="20"/>
    </row>
    <row r="907" ht="19.5" customHeight="1">
      <c r="A907" s="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9"/>
      <c r="U907" s="18"/>
      <c r="V907" s="20"/>
    </row>
    <row r="908" ht="19.5" customHeight="1">
      <c r="A908" s="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9"/>
      <c r="U908" s="18"/>
      <c r="V908" s="20"/>
    </row>
    <row r="909" ht="19.5" customHeight="1">
      <c r="A909" s="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9"/>
      <c r="U909" s="18"/>
      <c r="V909" s="20"/>
    </row>
    <row r="910" ht="19.5" customHeight="1">
      <c r="A910" s="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9"/>
      <c r="U910" s="18"/>
      <c r="V910" s="20"/>
    </row>
    <row r="911" ht="19.5" customHeight="1">
      <c r="A911" s="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9"/>
      <c r="U911" s="18"/>
      <c r="V911" s="20"/>
    </row>
    <row r="912" ht="19.5" customHeight="1">
      <c r="A912" s="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9"/>
      <c r="U912" s="18"/>
      <c r="V912" s="20"/>
    </row>
    <row r="913" ht="19.5" customHeight="1">
      <c r="A913" s="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9"/>
      <c r="U913" s="18"/>
      <c r="V913" s="20"/>
    </row>
    <row r="914" ht="19.5" customHeight="1">
      <c r="A914" s="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9"/>
      <c r="U914" s="18"/>
      <c r="V914" s="20"/>
    </row>
    <row r="915" ht="19.5" customHeight="1">
      <c r="A915" s="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9"/>
      <c r="U915" s="18"/>
      <c r="V915" s="20"/>
    </row>
    <row r="916" ht="19.5" customHeight="1">
      <c r="A916" s="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9"/>
      <c r="U916" s="18"/>
      <c r="V916" s="20"/>
    </row>
    <row r="917" ht="19.5" customHeight="1">
      <c r="A917" s="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9"/>
      <c r="U917" s="18"/>
      <c r="V917" s="20"/>
    </row>
    <row r="918" ht="19.5" customHeight="1">
      <c r="A918" s="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9"/>
      <c r="U918" s="18"/>
      <c r="V918" s="20"/>
    </row>
    <row r="919" ht="19.5" customHeight="1">
      <c r="A919" s="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9"/>
      <c r="U919" s="18"/>
      <c r="V919" s="20"/>
    </row>
    <row r="920" ht="19.5" customHeight="1">
      <c r="A920" s="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9"/>
      <c r="U920" s="18"/>
      <c r="V920" s="20"/>
    </row>
    <row r="921" ht="19.5" customHeight="1">
      <c r="A921" s="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9"/>
      <c r="U921" s="18"/>
      <c r="V921" s="20"/>
    </row>
    <row r="922" ht="19.5" customHeight="1">
      <c r="A922" s="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9"/>
      <c r="U922" s="18"/>
      <c r="V922" s="20"/>
    </row>
    <row r="923" ht="19.5" customHeight="1">
      <c r="A923" s="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9"/>
      <c r="U923" s="18"/>
      <c r="V923" s="20"/>
    </row>
    <row r="924" ht="19.5" customHeight="1">
      <c r="A924" s="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9"/>
      <c r="U924" s="18"/>
      <c r="V924" s="20"/>
    </row>
    <row r="925" ht="19.5" customHeight="1">
      <c r="A925" s="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9"/>
      <c r="U925" s="18"/>
      <c r="V925" s="20"/>
    </row>
    <row r="926" ht="19.5" customHeight="1">
      <c r="A926" s="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9"/>
      <c r="U926" s="18"/>
      <c r="V926" s="20"/>
    </row>
    <row r="927" ht="19.5" customHeight="1">
      <c r="A927" s="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9"/>
      <c r="U927" s="18"/>
      <c r="V927" s="20"/>
    </row>
    <row r="928" ht="19.5" customHeight="1">
      <c r="A928" s="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9"/>
      <c r="U928" s="18"/>
      <c r="V928" s="20"/>
    </row>
    <row r="929" ht="19.5" customHeight="1">
      <c r="A929" s="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9"/>
      <c r="U929" s="18"/>
      <c r="V929" s="20"/>
    </row>
    <row r="930" ht="19.5" customHeight="1">
      <c r="A930" s="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9"/>
      <c r="U930" s="18"/>
      <c r="V930" s="20"/>
    </row>
    <row r="931" ht="19.5" customHeight="1">
      <c r="A931" s="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9"/>
      <c r="U931" s="18"/>
      <c r="V931" s="20"/>
    </row>
    <row r="932" ht="19.5" customHeight="1">
      <c r="A932" s="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9"/>
      <c r="U932" s="18"/>
      <c r="V932" s="20"/>
    </row>
    <row r="933" ht="19.5" customHeight="1">
      <c r="A933" s="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9"/>
      <c r="U933" s="18"/>
      <c r="V933" s="20"/>
    </row>
    <row r="934" ht="19.5" customHeight="1">
      <c r="A934" s="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9"/>
      <c r="U934" s="18"/>
      <c r="V934" s="20"/>
    </row>
    <row r="935" ht="19.5" customHeight="1">
      <c r="A935" s="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9"/>
      <c r="U935" s="18"/>
      <c r="V935" s="20"/>
    </row>
    <row r="936" ht="19.5" customHeight="1">
      <c r="A936" s="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9"/>
      <c r="U936" s="18"/>
      <c r="V936" s="20"/>
    </row>
    <row r="937" ht="19.5" customHeight="1">
      <c r="A937" s="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9"/>
      <c r="U937" s="18"/>
      <c r="V937" s="20"/>
    </row>
    <row r="938" ht="19.5" customHeight="1">
      <c r="A938" s="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9"/>
      <c r="U938" s="18"/>
      <c r="V938" s="20"/>
    </row>
    <row r="939" ht="19.5" customHeight="1">
      <c r="A939" s="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9"/>
      <c r="U939" s="18"/>
      <c r="V939" s="20"/>
    </row>
    <row r="940" ht="19.5" customHeight="1">
      <c r="A940" s="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9"/>
      <c r="U940" s="18"/>
      <c r="V940" s="20"/>
    </row>
    <row r="941" ht="19.5" customHeight="1">
      <c r="A941" s="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9"/>
      <c r="U941" s="18"/>
      <c r="V941" s="20"/>
    </row>
    <row r="942" ht="19.5" customHeight="1">
      <c r="A942" s="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9"/>
      <c r="U942" s="18"/>
      <c r="V942" s="20"/>
    </row>
    <row r="943" ht="19.5" customHeight="1">
      <c r="A943" s="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9"/>
      <c r="U943" s="18"/>
      <c r="V943" s="20"/>
    </row>
    <row r="944" ht="19.5" customHeight="1">
      <c r="A944" s="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9"/>
      <c r="U944" s="18"/>
      <c r="V944" s="20"/>
    </row>
    <row r="945" ht="19.5" customHeight="1">
      <c r="A945" s="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9"/>
      <c r="U945" s="18"/>
      <c r="V945" s="20"/>
    </row>
    <row r="946" ht="19.5" customHeight="1">
      <c r="A946" s="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9"/>
      <c r="U946" s="18"/>
      <c r="V946" s="20"/>
    </row>
    <row r="947" ht="19.5" customHeight="1">
      <c r="A947" s="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9"/>
      <c r="U947" s="18"/>
      <c r="V947" s="20"/>
    </row>
    <row r="948" ht="19.5" customHeight="1">
      <c r="A948" s="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9"/>
      <c r="U948" s="18"/>
      <c r="V948" s="20"/>
    </row>
    <row r="949" ht="19.5" customHeight="1">
      <c r="A949" s="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9"/>
      <c r="U949" s="18"/>
      <c r="V949" s="20"/>
    </row>
    <row r="950" ht="19.5" customHeight="1">
      <c r="A950" s="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9"/>
      <c r="U950" s="18"/>
      <c r="V950" s="20"/>
    </row>
    <row r="951" ht="19.5" customHeight="1">
      <c r="A951" s="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9"/>
      <c r="U951" s="18"/>
      <c r="V951" s="20"/>
    </row>
    <row r="952" ht="19.5" customHeight="1">
      <c r="A952" s="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9"/>
      <c r="U952" s="18"/>
      <c r="V952" s="20"/>
    </row>
    <row r="953" ht="19.5" customHeight="1">
      <c r="A953" s="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9"/>
      <c r="U953" s="18"/>
      <c r="V953" s="20"/>
    </row>
    <row r="954" ht="19.5" customHeight="1">
      <c r="A954" s="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9"/>
      <c r="U954" s="18"/>
      <c r="V954" s="20"/>
    </row>
    <row r="955" ht="19.5" customHeight="1">
      <c r="A955" s="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9"/>
      <c r="U955" s="18"/>
      <c r="V955" s="20"/>
    </row>
    <row r="956" ht="19.5" customHeight="1">
      <c r="A956" s="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9"/>
      <c r="U956" s="18"/>
      <c r="V956" s="20"/>
    </row>
    <row r="957" ht="19.5" customHeight="1">
      <c r="A957" s="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9"/>
      <c r="U957" s="18"/>
      <c r="V957" s="20"/>
    </row>
    <row r="958" ht="19.5" customHeight="1">
      <c r="A958" s="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9"/>
      <c r="U958" s="18"/>
      <c r="V958" s="20"/>
    </row>
    <row r="959" ht="19.5" customHeight="1">
      <c r="A959" s="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9"/>
      <c r="U959" s="18"/>
      <c r="V959" s="20"/>
    </row>
    <row r="960" ht="19.5" customHeight="1">
      <c r="A960" s="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9"/>
      <c r="U960" s="18"/>
      <c r="V960" s="20"/>
    </row>
    <row r="961" ht="19.5" customHeight="1">
      <c r="A961" s="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9"/>
      <c r="U961" s="18"/>
      <c r="V961" s="20"/>
    </row>
    <row r="962" ht="19.5" customHeight="1">
      <c r="A962" s="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9"/>
      <c r="U962" s="18"/>
      <c r="V962" s="20"/>
    </row>
    <row r="963" ht="19.5" customHeight="1">
      <c r="A963" s="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9"/>
      <c r="U963" s="18"/>
      <c r="V963" s="20"/>
    </row>
    <row r="964" ht="19.5" customHeight="1">
      <c r="A964" s="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9"/>
      <c r="U964" s="18"/>
      <c r="V964" s="20"/>
    </row>
    <row r="965" ht="19.5" customHeight="1">
      <c r="A965" s="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9"/>
      <c r="U965" s="18"/>
      <c r="V965" s="20"/>
    </row>
    <row r="966" ht="19.5" customHeight="1">
      <c r="A966" s="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9"/>
      <c r="U966" s="18"/>
      <c r="V966" s="20"/>
    </row>
    <row r="967" ht="19.5" customHeight="1">
      <c r="A967" s="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9"/>
      <c r="U967" s="18"/>
      <c r="V967" s="20"/>
    </row>
    <row r="968" ht="19.5" customHeight="1">
      <c r="A968" s="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9"/>
      <c r="U968" s="18"/>
      <c r="V968" s="20"/>
    </row>
    <row r="969" ht="19.5" customHeight="1">
      <c r="A969" s="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9"/>
      <c r="U969" s="18"/>
      <c r="V969" s="20"/>
    </row>
    <row r="970" ht="19.5" customHeight="1">
      <c r="A970" s="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9"/>
      <c r="U970" s="18"/>
      <c r="V970" s="20"/>
    </row>
    <row r="971" ht="19.5" customHeight="1">
      <c r="A971" s="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9"/>
      <c r="U971" s="18"/>
      <c r="V971" s="20"/>
    </row>
    <row r="972" ht="19.5" customHeight="1">
      <c r="A972" s="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9"/>
      <c r="U972" s="18"/>
      <c r="V972" s="20"/>
    </row>
    <row r="973" ht="19.5" customHeight="1">
      <c r="A973" s="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9"/>
      <c r="U973" s="18"/>
      <c r="V973" s="20"/>
    </row>
    <row r="974" ht="19.5" customHeight="1">
      <c r="A974" s="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9"/>
      <c r="U974" s="18"/>
      <c r="V974" s="20"/>
    </row>
    <row r="975" ht="19.5" customHeight="1">
      <c r="A975" s="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9"/>
      <c r="U975" s="18"/>
      <c r="V975" s="20"/>
    </row>
    <row r="976" ht="19.5" customHeight="1">
      <c r="A976" s="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9"/>
      <c r="U976" s="18"/>
      <c r="V976" s="20"/>
    </row>
    <row r="977" ht="19.5" customHeight="1">
      <c r="A977" s="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9"/>
      <c r="U977" s="18"/>
      <c r="V977" s="20"/>
    </row>
    <row r="978" ht="19.5" customHeight="1">
      <c r="A978" s="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9"/>
      <c r="U978" s="18"/>
      <c r="V978" s="20"/>
    </row>
    <row r="979" ht="19.5" customHeight="1">
      <c r="A979" s="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9"/>
      <c r="U979" s="18"/>
      <c r="V979" s="20"/>
    </row>
    <row r="980" ht="19.5" customHeight="1">
      <c r="A980" s="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9"/>
      <c r="U980" s="18"/>
      <c r="V980" s="20"/>
    </row>
    <row r="981" ht="19.5" customHeight="1">
      <c r="A981" s="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9"/>
      <c r="U981" s="18"/>
      <c r="V981" s="20"/>
    </row>
    <row r="982" ht="19.5" customHeight="1">
      <c r="A982" s="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9"/>
      <c r="U982" s="18"/>
      <c r="V982" s="20"/>
    </row>
    <row r="983" ht="19.5" customHeight="1">
      <c r="A983" s="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9"/>
      <c r="U983" s="18"/>
      <c r="V983" s="20"/>
    </row>
    <row r="984" ht="19.5" customHeight="1">
      <c r="A984" s="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9"/>
      <c r="U984" s="18"/>
      <c r="V984" s="20"/>
    </row>
    <row r="985" ht="19.5" customHeight="1">
      <c r="A985" s="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9"/>
      <c r="U985" s="18"/>
      <c r="V985" s="20"/>
    </row>
    <row r="986" ht="19.5" customHeight="1">
      <c r="A986" s="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9"/>
      <c r="U986" s="18"/>
      <c r="V986" s="20"/>
    </row>
    <row r="987" ht="19.5" customHeight="1">
      <c r="A987" s="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9"/>
      <c r="U987" s="18"/>
      <c r="V987" s="20"/>
    </row>
    <row r="988" ht="19.5" customHeight="1">
      <c r="A988" s="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9"/>
      <c r="U988" s="18"/>
      <c r="V988" s="20"/>
    </row>
    <row r="989" ht="19.5" customHeight="1">
      <c r="A989" s="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9"/>
      <c r="U989" s="18"/>
      <c r="V989" s="20"/>
    </row>
    <row r="990" ht="19.5" customHeight="1">
      <c r="A990" s="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9"/>
      <c r="U990" s="18"/>
      <c r="V990" s="20"/>
    </row>
    <row r="991" ht="19.5" customHeight="1">
      <c r="A991" s="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9"/>
      <c r="U991" s="18"/>
      <c r="V991" s="20"/>
    </row>
    <row r="992" ht="19.5" customHeight="1">
      <c r="A992" s="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9"/>
      <c r="U992" s="18"/>
      <c r="V992" s="20"/>
    </row>
    <row r="993" ht="19.5" customHeight="1">
      <c r="A993" s="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9"/>
      <c r="U993" s="18"/>
      <c r="V993" s="20"/>
    </row>
    <row r="994" ht="19.5" customHeight="1">
      <c r="A994" s="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9"/>
      <c r="U994" s="18"/>
      <c r="V994" s="20"/>
    </row>
    <row r="995" ht="19.5" customHeight="1">
      <c r="A995" s="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9"/>
      <c r="U995" s="18"/>
      <c r="V995" s="20"/>
    </row>
    <row r="996" ht="19.5" customHeight="1">
      <c r="A996" s="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9"/>
      <c r="U996" s="18"/>
      <c r="V996" s="20"/>
    </row>
    <row r="997" ht="19.5" customHeight="1">
      <c r="A997" s="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9"/>
      <c r="U997" s="18"/>
      <c r="V997" s="20"/>
    </row>
    <row r="998" ht="19.5" customHeight="1">
      <c r="A998" s="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9"/>
      <c r="U998" s="18"/>
      <c r="V998" s="20"/>
    </row>
    <row r="999" ht="19.5" customHeight="1">
      <c r="A999" s="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9"/>
      <c r="U999" s="18"/>
      <c r="V999" s="20"/>
    </row>
    <row r="1000" ht="19.5" customHeight="1">
      <c r="A1000" s="25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7"/>
      <c r="U1000" s="26"/>
      <c r="V1000" s="28"/>
    </row>
  </sheetData>
  <autoFilter ref="$A$1:$V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7</v>
      </c>
      <c r="B1" s="4" t="s">
        <v>16</v>
      </c>
    </row>
    <row r="2">
      <c r="A2" s="4" t="s">
        <v>19</v>
      </c>
      <c r="B2" s="5">
        <v>6.75</v>
      </c>
    </row>
    <row r="3">
      <c r="A3" s="4" t="s">
        <v>26</v>
      </c>
      <c r="B3" s="5">
        <v>0.86</v>
      </c>
    </row>
    <row r="7">
      <c r="A7" s="1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7"/>
  </hyperlinks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10</v>
      </c>
      <c r="B1" s="5" t="s">
        <v>24</v>
      </c>
      <c r="C1" s="5" t="s">
        <v>27</v>
      </c>
      <c r="D1" s="5" t="s">
        <v>1</v>
      </c>
    </row>
    <row r="2">
      <c r="A2" s="5" t="s">
        <v>29</v>
      </c>
      <c r="B2" s="5">
        <v>3200.0</v>
      </c>
      <c r="C2" s="5">
        <v>2.01</v>
      </c>
      <c r="D2" s="9">
        <f t="shared" ref="D2:D15" si="1">B2*C2</f>
        <v>6432</v>
      </c>
    </row>
    <row r="3">
      <c r="A3" s="5" t="s">
        <v>32</v>
      </c>
      <c r="B3" s="5">
        <v>1900.0</v>
      </c>
      <c r="C3" s="5">
        <v>2.63</v>
      </c>
      <c r="D3" s="9">
        <f t="shared" si="1"/>
        <v>4997</v>
      </c>
    </row>
    <row r="4">
      <c r="A4" s="5" t="s">
        <v>33</v>
      </c>
      <c r="B4" s="5">
        <v>1100.0</v>
      </c>
      <c r="C4" s="5">
        <v>5.14</v>
      </c>
      <c r="D4" s="9">
        <f t="shared" si="1"/>
        <v>5654</v>
      </c>
    </row>
    <row r="5">
      <c r="A5" s="5" t="s">
        <v>34</v>
      </c>
      <c r="B5" s="5">
        <v>800.0</v>
      </c>
      <c r="C5" s="5">
        <v>4.7</v>
      </c>
      <c r="D5" s="9">
        <f t="shared" si="1"/>
        <v>3760</v>
      </c>
    </row>
    <row r="6">
      <c r="A6" s="5" t="s">
        <v>35</v>
      </c>
      <c r="B6" s="5">
        <v>3400.0</v>
      </c>
      <c r="C6" s="5">
        <v>1.0</v>
      </c>
      <c r="D6" s="9">
        <f t="shared" si="1"/>
        <v>3400</v>
      </c>
    </row>
    <row r="7">
      <c r="A7" s="5" t="s">
        <v>36</v>
      </c>
      <c r="B7" s="5">
        <v>1200.0</v>
      </c>
      <c r="C7" s="5">
        <v>1.38</v>
      </c>
      <c r="D7" s="9">
        <f t="shared" si="1"/>
        <v>1656</v>
      </c>
    </row>
    <row r="8">
      <c r="A8" s="11" t="s">
        <v>37</v>
      </c>
      <c r="B8" s="12">
        <v>300.0</v>
      </c>
      <c r="C8" s="13">
        <v>2.6</v>
      </c>
      <c r="D8" s="14">
        <f t="shared" si="1"/>
        <v>780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6" t="s">
        <v>38</v>
      </c>
      <c r="B9" s="13">
        <v>0.0</v>
      </c>
      <c r="C9" s="12">
        <v>2.67</v>
      </c>
      <c r="D9" s="14">
        <f t="shared" si="1"/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5" t="s">
        <v>39</v>
      </c>
      <c r="B10" s="5">
        <v>200.0</v>
      </c>
      <c r="C10" s="5">
        <v>2.65</v>
      </c>
      <c r="D10" s="17">
        <f t="shared" si="1"/>
        <v>530</v>
      </c>
    </row>
    <row r="11">
      <c r="A11" s="5" t="s">
        <v>40</v>
      </c>
      <c r="B11" s="5">
        <v>7200.0</v>
      </c>
      <c r="C11" s="5">
        <v>2.0</v>
      </c>
      <c r="D11" s="9">
        <f t="shared" si="1"/>
        <v>14400</v>
      </c>
    </row>
    <row r="12">
      <c r="A12" s="5" t="s">
        <v>41</v>
      </c>
      <c r="B12" s="5">
        <v>6300.0</v>
      </c>
      <c r="C12" s="5">
        <v>0.7</v>
      </c>
      <c r="D12" s="9">
        <f t="shared" si="1"/>
        <v>4410</v>
      </c>
    </row>
    <row r="13">
      <c r="A13" s="5" t="s">
        <v>42</v>
      </c>
      <c r="B13" s="5">
        <v>1600.0</v>
      </c>
      <c r="C13" s="5">
        <v>4.4</v>
      </c>
      <c r="D13" s="9">
        <f t="shared" si="1"/>
        <v>7040</v>
      </c>
    </row>
    <row r="14">
      <c r="A14" s="5" t="s">
        <v>43</v>
      </c>
      <c r="B14" s="5">
        <v>2400.0</v>
      </c>
      <c r="C14" s="5">
        <v>0.8</v>
      </c>
      <c r="D14" s="9">
        <f t="shared" si="1"/>
        <v>1920</v>
      </c>
    </row>
    <row r="15">
      <c r="A15" s="5" t="s">
        <v>44</v>
      </c>
      <c r="B15" s="5">
        <v>4400.0</v>
      </c>
      <c r="C15" s="5">
        <v>0.6</v>
      </c>
      <c r="D15" s="9">
        <f t="shared" si="1"/>
        <v>2640</v>
      </c>
    </row>
    <row r="16">
      <c r="D16" s="9">
        <f>SUM(D2:D15)</f>
        <v>57619</v>
      </c>
    </row>
  </sheetData>
  <drawing r:id="rId1"/>
</worksheet>
</file>